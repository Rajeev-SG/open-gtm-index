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9be3edd14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43ed389b9f47c7"/>
    <x:sheet xmlns:r="http://schemas.openxmlformats.org/officeDocument/2006/relationships" name="Tool Rankings" sheetId="2" r:id="Ra81a9b9dc3aa46ff"/>
    <x:sheet xmlns:r="http://schemas.openxmlformats.org/officeDocument/2006/relationships" name="Category Leaders" sheetId="3" r:id="R01a8e0f1b878478b"/>
    <x:sheet xmlns:r="http://schemas.openxmlformats.org/officeDocument/2006/relationships" name="Commercial Map" sheetId="4" r:id="R5d20fcfdd96544d3"/>
    <x:sheet xmlns:r="http://schemas.openxmlformats.org/officeDocument/2006/relationships" name="Scoring Method" sheetId="5" r:id="R54fd96cc7e4c43cd"/>
    <x:sheet xmlns:r="http://schemas.openxmlformats.org/officeDocument/2006/relationships" name="Product Blueprint" sheetId="6" r:id="R514e539ddef64064"/>
    <x:sheet xmlns:r="http://schemas.openxmlformats.org/officeDocument/2006/relationships" name="Design Content" sheetId="7" r:id="R7c2103ef5cf04b36"/>
    <x:sheet xmlns:r="http://schemas.openxmlformats.org/officeDocument/2006/relationships" name="Sources" sheetId="8" r:id="R66fb44af90874f45"/>
  </x:sheets>
</x:workbook>
</file>

<file path=xl/comments1.xml><?xml version="1.0" encoding="utf-8"?>
<x:comments xmlns:x="http://schemas.openxmlformats.org/spreadsheetml/2006/main">
  <x:authors>
    <x:author>tc={04A80E7E-6D55-C5F8-B330-02D2471FF12B}</x:author>
    <x:author>tc={BBEB0F00-A806-BD3C-1DAB-C233D49D74CC}</x:author>
    <x:author>tc={0BCFA2BC-7741-B0AB-8831-1FB9D001EC7A}</x:author>
    <x:author>tc={1B1A8A77-C342-BE88-CE80-424047C1A91E}</x:author>
    <x:author>tc={67330324-209D-1B71-E69E-65BE254CAEB9}</x:author>
    <x:author>tc={66DF31D1-ACF8-EFF2-FF5C-5F59A8D44E92}</x:author>
    <x:author>tc={9CB013E2-55DE-89FD-C1F7-2AD626F9909E}</x:author>
    <x:author>tc={F3BE5776-CD4B-25B6-6F4A-F0FDE985B632}</x:author>
    <x:author>tc={C823A099-6593-6C5D-0F48-E134952FBF19}</x:author>
    <x:author>tc={538A239D-12F0-ED49-3A38-3F6FCE72F877}</x:author>
    <x:author>tc={3A9D42E5-9DF8-01E7-DE30-58D4600120C8}</x:author>
    <x:author>tc={6B296A6C-E076-CDD5-C311-4F701E5AC3F5}</x:author>
    <x:author>tc={445E5310-A390-7171-17F1-61FC336FA19E}</x:author>
    <x:author>tc={CE69D575-9D29-2BE2-5EFA-8FADB2C4D5B7}</x:author>
    <x:author>tc={CD617B62-7FDC-99B0-7B44-5E4F17888B48}</x:author>
    <x:author>tc={5A9868F0-191E-66E9-16BE-5E7AC3EF4E76}</x:author>
    <x:author>tc={9C509945-1D8D-5814-E09C-F231DE5928D4}</x:author>
    <x:author>tc={AA4A66B0-6BC5-D9D7-CCF0-003C002C05D3}</x:author>
    <x:author>tc={122E1F62-2339-6ABD-E8DC-F54E731B300D}</x:author>
    <x:author>tc={6FF3848B-3DEB-C460-FC51-ABBD2868EDA1}</x:author>
    <x:author>tc={0BE33505-2AA4-4EEE-430F-F86A04814394}</x:author>
    <x:author>tc={218BA81A-8D16-CD66-6409-A2B8637D52CE}</x:author>
    <x:author>tc={1C8C4EF3-7F12-E165-2691-5781B92158BC}</x:author>
    <x:author>tc={E61F7CED-C9EE-6A15-869C-83A89B14DE5A}</x:author>
    <x:author>tc={F794713F-56CD-85E0-E3A4-F313BD14F136}</x:author>
    <x:author>tc={3A5AF551-3732-8DD3-1AB3-31DBC62CE4A5}</x:author>
    <x:author>tc={4DB84BFC-233F-D4D3-F323-6EBA23DF1910}</x:author>
    <x:author>tc={394BB4D9-EACA-B331-9A43-690B190B6E4B}</x:author>
    <x:author>tc={8A561808-3FC7-2BE0-2A2E-1A925315CA84}</x:author>
    <x:author>tc={683C7D04-8954-461C-8F78-56BF4E8AD253}</x:author>
    <x:author>tc={E49053C0-5FFD-1F39-7DA3-CBC19C51E3F4}</x:author>
    <x:author>tc={DBD52392-ED06-8DA0-AEB6-E2EFF8A14FE9}</x:author>
    <x:author>tc={9D4555A7-A4E4-0CD8-1CD1-3EC04FBC8768}</x:author>
    <x:author>tc={B32E1D47-9F96-9DE0-801E-7C35AB9DD2EC}</x:author>
    <x:author>tc={0AE99521-A290-8522-7B2B-CCBC2E224355}</x:author>
    <x:author>tc={3469F6E0-B23C-9FA4-0199-80A28D8E327B}</x:author>
    <x:author>tc={B795E33D-E688-873B-1BCE-42B56532A19B}</x:author>
    <x:author>tc={2A3EAD3C-33D6-ED3A-F7A0-8395E327CA1B}</x:author>
    <x:author>tc={2EE5FBDB-EB53-5640-77F0-3D54039A8D7E}</x:author>
    <x:author>tc={1A904B1D-105B-8F94-79DD-DA1142B85302}</x:author>
    <x:author>tc={AB89AA9B-D782-89CB-2649-C48F65916E6F}</x:author>
    <x:author>tc={A49C31E7-A20C-37A4-4094-493A8EC02EFB}</x:author>
    <x:author>tc={FFD6C8CE-EA06-F72D-3506-140A12F9DF92}</x:author>
    <x:author>tc={A2131E27-285F-6A51-6851-98C391D062C5}</x:author>
    <x:author>tc={56CC61D8-543F-4038-EBCD-8455C987C7D7}</x:author>
    <x:author>tc={5403E682-E010-4202-9E9F-6A46FC30E463}</x:author>
    <x:author>tc={56D6EF52-8B5D-6084-AE45-7DAFB8BA6BF4}</x:author>
    <x:author>tc={BD17C676-D94D-AA55-992E-191E3C12AFB9}</x:author>
    <x:author>tc={0F4FEFBB-5A0F-4DC1-0F5E-643B35CB3700}</x:author>
    <x:author>tc={B495E08D-2A16-1548-7CA1-84BEF577C97B}</x:author>
    <x:author>tc={36B9B2E7-0EC7-FD06-8858-64E3F3D39CCF}</x:author>
    <x:author>tc={FC247B9A-3A1A-CF7A-DB10-9AA461D75922}</x:author>
    <x:author>tc={55B6C189-28EF-2048-E37E-543FEEC8BD1D}</x:author>
    <x:author>tc={DD6E62ED-799B-7724-946B-2E9789A6BE0E}</x:author>
    <x:author>tc={CACC541A-DDD8-3B8C-4449-C3A8014AA13F}</x:author>
    <x:author>tc={F04BCFBA-AAAF-46FB-9E7D-8320FAA08DC6}</x:author>
    <x:author>tc={0778FF4F-3CF2-DB26-B7D9-8D4BEE0B7E07}</x:author>
    <x:author>tc={F686DE6A-04F1-50B3-2DBC-E6E455F40B22}</x:author>
    <x:author>tc={09807F35-BA29-5025-25AE-32015FA30891}</x:author>
    <x:author>tc={6FE4E90B-A49F-0A25-2C82-246837B2312A}</x:author>
    <x:author>tc={B345A74B-0140-6333-62E5-E7A638490471}</x:author>
    <x:author>tc={9120EB8E-1C55-2C92-269D-62FDCEC52E90}</x:author>
    <x:author>tc={70D7B5D7-A668-4746-047B-8BA29B8D6AB8}</x:author>
    <x:author>tc={826205CA-0325-C1BD-3882-D574924FE5E6}</x:author>
    <x:author>tc={92632548-C888-1024-8EC0-617B75D23442}</x:author>
    <x:author>tc={D039967A-DAB1-5BE9-0E21-66E3A01BBF69}</x:author>
    <x:author>tc={B7660BA1-62F0-071A-47C2-F03514F5DED0}</x:author>
    <x:author>tc={FDF22C45-A917-15C3-11EA-E5101A6C30E8}</x:author>
    <x:author>tc={F2B10521-4033-22AF-1864-B26063B7201D}</x:author>
    <x:author>tc={90BE52EE-D804-3932-5931-F32E0B943ADB}</x:author>
    <x:author>tc={B1F5C5EE-E77C-B62D-D920-855C37E634C2}</x:author>
    <x:author>tc={3A82D22D-2125-E00A-342A-42AF51168655}</x:author>
    <x:author>tc={3E5F2711-1919-3757-5B77-3D2A19B6D446}</x:author>
    <x:author>tc={52C5A655-F2E3-DE48-06C7-1B3A2E2024A2}</x:author>
    <x:author>tc={B7F0CBA6-B633-71DB-C123-EDA4293ACE04}</x:author>
    <x:author>tc={BFE139E7-448D-E001-2756-696FB6FBCA1D}</x:author>
    <x:author>tc={03C31DBA-2CF0-C6AD-ADAE-726D97FD65AD}</x:author>
    <x:author>tc={D04731B7-5B2B-27A1-84A3-FA2BAB9B4765}</x:author>
    <x:author>tc={B7AD6797-E576-607C-D637-722FB39FDF9D}</x:author>
    <x:author>tc={38B04F2B-F576-D1A1-2EA4-C596E6EF1940}</x:author>
    <x:author>tc={CA9CBB8A-CB38-B49E-A213-BFA448EBD141}</x:author>
    <x:author>tc={DED05A12-0203-CA35-4FB2-CD1B0102B566}</x:author>
    <x:author>tc={4186623C-F11B-B33A-24CC-9660358E0441}</x:author>
    <x:author>tc={2E7F7362-A123-FC5D-B9B2-E77FFE237B55}</x:author>
    <x:author>tc={FC203B65-C890-B38C-8D2E-D17757C1A669}</x:author>
    <x:author>tc={77AD632A-E338-0410-F875-EAB593461D6B}</x:author>
    <x:author>tc={36B129E3-21A4-C2FB-350C-3F07211630DD}</x:author>
    <x:author>tc={9C274C8E-C6EC-446A-CC23-A9009E1D3CB7}</x:author>
    <x:author>tc={A4C7B243-E238-044C-FDE9-2897D29973DD}</x:author>
    <x:author>tc={67EFC6D8-AD1B-3E7B-2B3F-66B0AC470735}</x:author>
    <x:author>tc={FBED8831-D220-CD95-8B6A-106CABE2E7A5}</x:author>
    <x:author>tc={563D836B-9121-25E0-72BE-44184FFFD226}</x:author>
    <x:author>tc={E2DE479A-C7F7-FBE0-B4D3-31D4183CE9B8}</x:author>
    <x:author>tc={05AADAA5-EF26-CD14-5A6B-C5B63C9FDEE2}</x:author>
    <x:author>tc={804B7196-080C-69BC-B974-8D8E5626B0A0}</x:author>
    <x:author>tc={EE6E0C6F-DAFA-F717-F9A6-19B3709C1E73}</x:author>
    <x:author>tc={133DBD8D-1027-7B49-A27E-FC9725F8E5BA}</x:author>
    <x:author>tc={A5E8BA51-77AB-79E1-BDA4-3D4C80414D87}</x:author>
    <x:author>tc={1AE31A61-1DA7-0CCA-C59F-63BB1FAC314D}</x:author>
    <x:author>tc={C8433E27-644E-7DA9-ADBC-44147A180E77}</x:author>
    <x:author>tc={A979C0CE-AF7A-E34D-D8FD-89ADEB74302F}</x:author>
    <x:author>tc={600A73D4-7547-85CC-95D3-1FD7E6B3637F}</x:author>
    <x:author>tc={2C054D51-5B28-8021-B8D9-9F4D9EAE3800}</x:author>
    <x:author>tc={3F1355B4-23C8-FF02-6E7F-DFE60291B849}</x:author>
    <x:author>tc={44C042A1-B3F9-C3EF-0C99-F791044DF64B}</x:author>
    <x:author>tc={0CA6BF96-41C0-CCD6-C9D7-DB7AB59B1F67}</x:author>
  </x:authors>
  <x:commentList>
    <x:comment ref="Q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4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5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5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6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7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8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19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1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1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4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5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5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6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6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7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7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8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8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29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29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0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1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2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2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3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3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4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4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5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5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6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6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7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7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8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8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39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3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0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1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1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2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2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3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3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4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4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5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5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6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6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7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7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8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8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4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49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0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0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1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1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2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2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3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3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4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4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  <x:comment ref="Q55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Deployment readiness was reviewed from the repository and official project documentation. Re-check before procurement.</x:t>
        </x:r>
      </x:text>
    </x:comment>
    <x:comment ref="R55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Go-to-market fit is an editorial input. It measures direct relevance to sales, marketing, support or related data work.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"/>
  </x:numFmts>
  <x:fonts count="9">
    <x:font>
      <x:sz val="11"/>
      <x:name val="Carlito"/>
    </x:font>
    <x:font>
      <x:sz val="10"/>
      <x:color rgb="FF211F19"/>
      <x:name val="Aptos"/>
    </x:font>
    <x:font>
      <x:b/>
      <x:sz val="18"/>
      <x:color rgb="FFFFFFFF"/>
      <x:name val="Aptos Display"/>
    </x:font>
    <x:font>
      <x:i/>
      <x:sz val="10"/>
      <x:color rgb="FF6F6A5E"/>
      <x:name val="Aptos"/>
    </x:font>
    <x:font>
      <x:b/>
      <x:sz val="11"/>
      <x:color rgb="FF211F19"/>
      <x:name val="Aptos"/>
    </x:font>
    <x:font>
      <x:b/>
      <x:sz val="10"/>
      <x:color rgb="FFFFFFFF"/>
      <x:name val="Aptos"/>
    </x:font>
    <x:font>
      <x:sz val="11"/>
      <x:color rgb="FF6F6A5E"/>
      <x:name val="Aptos"/>
    </x:font>
    <x:font>
      <x:b/>
      <x:sz val="24"/>
      <x:color rgb="FFD78118"/>
      <x:name val="Aptos"/>
    </x:font>
    <x:font>
      <x:b/>
      <x:sz val="10"/>
      <x:color rgb="FF211F19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11F19"/>
      </x:patternFill>
    </x:fill>
    <x:fill>
      <x:patternFill patternType="solid">
        <x:fgColor rgb="FFFFFDF8"/>
      </x:patternFill>
    </x:fill>
    <x:fill>
      <x:patternFill patternType="solid">
        <x:fgColor rgb="FFF6E1BE"/>
      </x:patternFill>
    </x:fill>
  </x:fills>
  <x:borders count="15">
    <x:border/>
    <x:border>
      <x:bottom style="medium">
        <x:color rgb="FFD78118"/>
      </x:bottom>
    </x:border>
    <x:border>
      <x:left style="thin">
        <x:color rgb="FF211F19"/>
      </x:left>
      <x:top style="thin">
        <x:color rgb="FF211F19"/>
      </x:top>
    </x:border>
    <x:border>
      <x:top style="thin">
        <x:color rgb="FF211F19"/>
      </x:top>
    </x:border>
    <x:border>
      <x:right style="thin">
        <x:color rgb="FF211F19"/>
      </x:right>
      <x:top style="thin">
        <x:color rgb="FF211F19"/>
      </x:top>
    </x:border>
    <x:border>
      <x:left style="thin">
        <x:color rgb="FF211F19"/>
      </x:left>
    </x:border>
    <x:border>
      <x:right style="thin">
        <x:color rgb="FF211F19"/>
      </x:right>
    </x:border>
    <x:border>
      <x:left style="thin">
        <x:color rgb="FF211F19"/>
      </x:left>
      <x:bottom style="thin">
        <x:color rgb="FF211F19"/>
      </x:bottom>
    </x:border>
    <x:border>
      <x:bottom style="thin">
        <x:color rgb="FF211F19"/>
      </x:bottom>
    </x:border>
    <x:border>
      <x:right style="thin">
        <x:color rgb="FF211F19"/>
      </x:right>
      <x:bottom style="thin">
        <x:color rgb="FF211F19"/>
      </x:bottom>
    </x:border>
    <x:border>
      <x:bottom style="thin">
        <x:color rgb="FFD9D1C4"/>
      </x:bottom>
    </x:border>
    <x:border>
      <x:top style="thin">
        <x:color rgb="FFD9D1C4"/>
      </x:top>
      <x:bottom style="thin">
        <x:color rgb="FFD9D1C4"/>
      </x:bottom>
    </x:border>
    <x:border>
      <x:right style="thin">
        <x:color rgb="FF211F19"/>
      </x:right>
      <x:top style="thin">
        <x:color rgb="FFD9D1C4"/>
      </x:top>
      <x:bottom style="thin">
        <x:color rgb="FFD9D1C4"/>
      </x:bottom>
    </x:border>
    <x:border>
      <x:left style="thin">
        <x:color rgb="FF211F19"/>
      </x:left>
      <x:top style="thin">
        <x:color rgb="FFD9D1C4"/>
      </x:top>
      <x:bottom style="thin">
        <x:color rgb="FFD9D1C4"/>
      </x:bottom>
    </x:border>
    <x:border>
      <x:top style="thin">
        <x:color rgb="FFD9D1C4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8" xfId="0" applyNumberFormat="1" applyFont="1" applyFill="1" applyBorder="1"/>
    <x:xf numFmtId="0" fontId="7" fillId="2" borderId="9" xfId="0" applyNumberFormat="1" applyFont="1" applyFill="1" applyBorder="1"/>
    <x:xf numFmtId="0" fontId="7" fillId="2" borderId="2" xfId="0" applyNumberFormat="1" applyFont="1" applyFill="1" applyBorder="1" applyAlignment="1">
      <x:alignment horizontal="center"/>
    </x:xf>
    <x:xf numFmtId="0" fontId="7" fillId="2" borderId="3" xfId="0" applyNumberFormat="1" applyFont="1" applyFill="1" applyBorder="1" applyAlignment="1">
      <x:alignment horizontal="center"/>
    </x:xf>
    <x:xf numFmtId="0" fontId="7" fillId="2" borderId="4" xfId="0" applyNumberFormat="1" applyFont="1" applyFill="1" applyBorder="1" applyAlignment="1">
      <x:alignment horizontal="center"/>
    </x:xf>
    <x:xf numFmtId="0" fontId="7" fillId="2" borderId="5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7" fillId="2" borderId="6" xfId="0" applyNumberFormat="1" applyFont="1" applyFill="1" applyBorder="1" applyAlignment="1">
      <x:alignment horizontal="center"/>
    </x:xf>
    <x:xf numFmtId="0" fontId="7" fillId="2" borderId="7" xfId="0" applyNumberFormat="1" applyFont="1" applyFill="1" applyBorder="1" applyAlignment="1">
      <x:alignment horizontal="center"/>
    </x:xf>
    <x:xf numFmtId="0" fontId="7" fillId="2" borderId="8" xfId="0" applyNumberFormat="1" applyFont="1" applyFill="1" applyBorder="1" applyAlignment="1">
      <x:alignment horizontal="center"/>
    </x:xf>
    <x:xf numFmtId="0" fontId="7" fillId="2" borderId="9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7" fillId="2" borderId="5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7" fillId="2" borderId="8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 applyAlignment="1">
      <x:alignment horizontal="center" vertical="top"/>
    </x:xf>
    <x:xf numFmtId="0" fontId="7" fillId="2" borderId="3" xfId="0" applyNumberFormat="1" applyFont="1" applyFill="1" applyBorder="1" applyAlignment="1">
      <x:alignment horizontal="center" vertical="top"/>
    </x:xf>
    <x:xf numFmtId="0" fontId="7" fillId="2" borderId="4" xfId="0" applyNumberFormat="1" applyFont="1" applyFill="1" applyBorder="1" applyAlignment="1">
      <x:alignment horizontal="center" vertical="top"/>
    </x:xf>
    <x:xf numFmtId="0" fontId="7" fillId="2" borderId="5" xfId="0" applyNumberFormat="1" applyFont="1" applyFill="1" applyBorder="1" applyAlignment="1">
      <x:alignment horizontal="center" vertical="top"/>
    </x:xf>
    <x:xf numFmtId="0" fontId="7" fillId="2" borderId="0" xfId="0" applyNumberFormat="1" applyFont="1" applyFill="1" applyBorder="1" applyAlignment="1">
      <x:alignment horizontal="center" vertical="top"/>
    </x:xf>
    <x:xf numFmtId="0" fontId="7" fillId="2" borderId="6" xfId="0" applyNumberFormat="1" applyFont="1" applyFill="1" applyBorder="1" applyAlignment="1">
      <x:alignment horizontal="center" vertical="top"/>
    </x:xf>
    <x:xf numFmtId="0" fontId="7" fillId="2" borderId="7" xfId="0" applyNumberFormat="1" applyFont="1" applyFill="1" applyBorder="1" applyAlignment="1">
      <x:alignment horizontal="center" vertical="top"/>
    </x:xf>
    <x:xf numFmtId="0" fontId="7" fillId="2" borderId="8" xfId="0" applyNumberFormat="1" applyFont="1" applyFill="1" applyBorder="1" applyAlignment="1">
      <x:alignment horizontal="center" vertical="top"/>
    </x:xf>
    <x:xf numFmtId="0" fontId="7" fillId="2" borderId="9" xfId="0" applyNumberFormat="1" applyFont="1" applyFill="1" applyBorder="1" applyAlignment="1">
      <x:alignment horizontal="center" vertical="top"/>
    </x:xf>
    <x:xf numFmtId="0" fontId="8" fillId="4" borderId="0" xfId="0" applyNumberFormat="1" applyFont="1" applyFill="1" applyBorder="1" applyAlignment="1">
      <x:alignment horizontal="center" vertical="top"/>
    </x:xf>
    <x:xf numFmtId="0" fontId="4" fillId="4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6" fillId="3" borderId="11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horizontal="center" vertical="top"/>
    </x:xf>
    <x:xf numFmtId="0" fontId="7" fillId="2" borderId="12" xfId="0" applyNumberFormat="1" applyFont="1" applyFill="1" applyBorder="1" applyAlignment="1">
      <x:alignment horizontal="center" vertical="top"/>
    </x:xf>
    <x:xf numFmtId="0" fontId="7" fillId="2" borderId="13" xfId="0" applyNumberFormat="1" applyFont="1" applyFill="1" applyBorder="1" applyAlignment="1">
      <x:alignment horizontal="center" vertical="top"/>
    </x:xf>
    <x:xf numFmtId="0" fontId="8" fillId="4" borderId="11" xfId="0" applyNumberFormat="1" applyFont="1" applyFill="1" applyBorder="1" applyAlignment="1">
      <x:alignment horizontal="center" vertical="top"/>
    </x:xf>
    <x:xf numFmtId="0" fontId="4" fillId="4" borderId="11" xfId="0" applyNumberFormat="1" applyFont="1" applyFill="1" applyBorder="1" applyAlignment="1">
      <x:alignment vertical="top"/>
    </x:xf>
    <x:xf numFmtId="0" fontId="5" fillId="2" borderId="11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203" fontId="1" fillId="0" borderId="11" xfId="0" applyNumberFormat="1" applyFont="1" applyFill="1" applyBorder="1" applyAlignment="1">
      <x:alignment vertical="top" wrapText="1"/>
    </x:xf>
    <x:xf numFmtId="202" fontId="1" fillId="0" borderId="11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11" xfId="0" applyNumberFormat="1" applyFont="1" applyFill="1" applyBorder="1" applyAlignment="1">
      <x:alignment vertical="top"/>
    </x:xf>
    <x:xf numFmtId="201" fontId="1" fillId="0" borderId="11" xfId="0" applyNumberFormat="1" applyFont="1" applyFill="1" applyBorder="1" applyAlignment="1">
      <x:alignment vertical="top"/>
    </x:xf>
    <x:xf numFmtId="203" fontId="1" fillId="0" borderId="11" xfId="0" applyNumberFormat="1" applyFont="1" applyFill="1" applyBorder="1" applyAlignment="1">
      <x:alignment vertical="top"/>
    </x:xf>
    <x:xf numFmtId="201" fontId="1" fillId="0" borderId="1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3" fillId="3" borderId="11" xfId="0" applyNumberFormat="1" applyFont="1" applyFill="1" applyBorder="1" applyAlignment="1">
      <x:alignment vertical="top" wrapText="1"/>
    </x:xf>
    <x:xf numFmtId="0" fontId="5" fillId="2" borderId="11" xfId="0" applyNumberFormat="1" applyFont="1" applyFill="1" applyBorder="1" applyAlignment="1">
      <x:alignment vertical="top"/>
    </x:xf>
    <x:xf numFmtId="200" fontId="1" fillId="0" borderId="1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8A291B"/>
      </x:font>
      <x:fill>
        <x:patternFill patternType="solid">
          <x:bgColor rgb="FFF8DDD6"/>
        </x:patternFill>
      </x:fill>
    </x:dxf>
    <x:dxf>
      <x:font>
        <x:b/>
        <x:color rgb="FF2E7D5B"/>
      </x:font>
      <x:fill>
        <x:patternFill patternType="solid">
          <x:bgColor rgb="FFDD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9f60bf21e4a5c" /><Relationship Type="http://schemas.openxmlformats.org/officeDocument/2006/relationships/theme" Target="/xl/theme/theme1.xml" Id="R5e268544cdb446f9" /><Relationship Type="http://schemas.openxmlformats.org/officeDocument/2006/relationships/sharedStrings" Target="/xl/sharedStrings.xml" Id="Rfdb83610a96345a3" /><Relationship Type="http://schemas.openxmlformats.org/officeDocument/2006/relationships/worksheet" Target="/xl/worksheets/sheet1.xml" Id="Rb843ed389b9f47c7" /><Relationship Type="http://schemas.openxmlformats.org/officeDocument/2006/relationships/worksheet" Target="/xl/worksheets/sheet2.xml" Id="Ra81a9b9dc3aa46ff" /><Relationship Type="http://schemas.openxmlformats.org/officeDocument/2006/relationships/worksheet" Target="/xl/worksheets/sheet3.xml" Id="R01a8e0f1b878478b" /><Relationship Type="http://schemas.openxmlformats.org/officeDocument/2006/relationships/worksheet" Target="/xl/worksheets/sheet4.xml" Id="R5d20fcfdd96544d3" /><Relationship Type="http://schemas.openxmlformats.org/officeDocument/2006/relationships/worksheet" Target="/xl/worksheets/sheet5.xml" Id="R54fd96cc7e4c43cd" /><Relationship Type="http://schemas.openxmlformats.org/officeDocument/2006/relationships/worksheet" Target="/xl/worksheets/sheet6.xml" Id="R514e539ddef64064" /><Relationship Type="http://schemas.openxmlformats.org/officeDocument/2006/relationships/worksheet" Target="/xl/worksheets/sheet7.xml" Id="R7c2103ef5cf04b36" /><Relationship Type="http://schemas.openxmlformats.org/officeDocument/2006/relationships/worksheet" Target="/xl/worksheets/sheet8.xml" Id="R66fb44af90874f45" /><Relationship Type="http://schemas.microsoft.com/office/2017/10/relationships/person" Target="/xl/persons/person.xml" Id="R12aa5a5afe104b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cf190361a547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Eligible projects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Eligible tools</c:v>
          </c:tx>
          <c:cat>
            <c:strRef>
              <c:f>'Dashboard'!$J$11:$J$23</c:f>
              <c:strCache>
                <c:ptCount val="0"/>
              </c:strCache>
            </c:strRef>
          </c:cat>
          <c:val>
            <c:numRef>
              <c:f>'Dashboard'!$K$11:$K$23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9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cf190361a547f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ajeev" id="{21D62F83-E011-4476-AC05-6353C37D63F7}"/>
</xltc:personList>
</file>

<file path=xl/tables/table1.xml><?xml version="1.0" encoding="utf-8"?>
<x:table xmlns:x="http://schemas.openxmlformats.org/spreadsheetml/2006/main" id="1" name="OpenGtmRankings" displayName="OpenGtmRankings" ref="A2:Z55" headerRowCount="1" totalsRowCount="0" totalsRowShown="0">
  <x:tableColumns count="26">
    <x:tableColumn id="1" name="Overall rank"/>
    <x:tableColumn id="2" name="Category rank"/>
    <x:tableColumn id="3" name="Tool"/>
    <x:tableColumn id="4" name="Category"/>
    <x:tableColumn id="5" name="Commercial tools replaced"/>
    <x:tableColumn id="6" name="What it does"/>
    <x:tableColumn id="7" name="Licence"/>
    <x:tableColumn id="8" name="Licence model"/>
    <x:tableColumn id="9" name="Stars"/>
    <x:tableColumn id="10" name="Forks"/>
    <x:tableColumn id="11" name="Open issues"/>
    <x:tableColumn id="12" name="Last push"/>
    <x:tableColumn id="13" name="Days since push"/>
    <x:tableColumn id="14" name="Adoption /25"/>
    <x:tableColumn id="15" name="Community /15"/>
    <x:tableColumn id="16" name="Activity /20"/>
    <x:tableColumn id="17" name="Deployment /15"/>
    <x:tableColumn id="18" name="GTM fit /15"/>
    <x:tableColumn id="19" name="Licence /10"/>
    <x:tableColumn id="20" name="Open GTM Score /100"/>
    <x:tableColumn id="21" name="Eligible"/>
    <x:tableColumn id="22" name="Maturity"/>
    <x:tableColumn id="23" name="Recommendation"/>
    <x:tableColumn id="24" name="GitHub"/>
    <x:tableColumn id="25" name="Website"/>
    <x:tableColumn id="26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Q3" dT="2026-07-20T17:05:55.945" personId="{21D62F83-E011-4476-AC05-6353C37D63F7}" id="{04A80E7E-6D55-C5F8-B330-02D2471FF12B}">
    <xltc:text>Deployment readiness was reviewed from the repository and official project documentation. Re-check before procurement.</xltc:text>
  </xltc:threadedComment>
  <xltc:threadedComment ref="R3" dT="2026-07-20T17:05:55.945" personId="{21D62F83-E011-4476-AC05-6353C37D63F7}" id="{BBEB0F00-A806-BD3C-1DAB-C233D49D74CC}">
    <xltc:text>Go-to-market fit is an editorial input. It measures direct relevance to sales, marketing, support or related data work.</xltc:text>
  </xltc:threadedComment>
  <xltc:threadedComment ref="Q4" dT="2026-07-20T17:05:55.945" personId="{21D62F83-E011-4476-AC05-6353C37D63F7}" id="{0BCFA2BC-7741-B0AB-8831-1FB9D001EC7A}">
    <xltc:text>Deployment readiness was reviewed from the repository and official project documentation. Re-check before procurement.</xltc:text>
  </xltc:threadedComment>
  <xltc:threadedComment ref="R4" dT="2026-07-20T17:05:55.945" personId="{21D62F83-E011-4476-AC05-6353C37D63F7}" id="{1B1A8A77-C342-BE88-CE80-424047C1A91E}">
    <xltc:text>Go-to-market fit is an editorial input. It measures direct relevance to sales, marketing, support or related data work.</xltc:text>
  </xltc:threadedComment>
  <xltc:threadedComment ref="Q5" dT="2026-07-20T17:05:55.945" personId="{21D62F83-E011-4476-AC05-6353C37D63F7}" id="{67330324-209D-1B71-E69E-65BE254CAEB9}">
    <xltc:text>Deployment readiness was reviewed from the repository and official project documentation. Re-check before procurement.</xltc:text>
  </xltc:threadedComment>
  <xltc:threadedComment ref="R5" dT="2026-07-20T17:05:55.945" personId="{21D62F83-E011-4476-AC05-6353C37D63F7}" id="{66DF31D1-ACF8-EFF2-FF5C-5F59A8D44E92}">
    <xltc:text>Go-to-market fit is an editorial input. It measures direct relevance to sales, marketing, support or related data work.</xltc:text>
  </xltc:threadedComment>
  <xltc:threadedComment ref="Q6" dT="2026-07-20T17:05:55.945" personId="{21D62F83-E011-4476-AC05-6353C37D63F7}" id="{9CB013E2-55DE-89FD-C1F7-2AD626F9909E}">
    <xltc:text>Deployment readiness was reviewed from the repository and official project documentation. Re-check before procurement.</xltc:text>
  </xltc:threadedComment>
  <xltc:threadedComment ref="R6" dT="2026-07-20T17:05:55.945" personId="{21D62F83-E011-4476-AC05-6353C37D63F7}" id="{F3BE5776-CD4B-25B6-6F4A-F0FDE985B632}">
    <xltc:text>Go-to-market fit is an editorial input. It measures direct relevance to sales, marketing, support or related data work.</xltc:text>
  </xltc:threadedComment>
  <xltc:threadedComment ref="Q7" dT="2026-07-20T17:05:55.945" personId="{21D62F83-E011-4476-AC05-6353C37D63F7}" id="{C823A099-6593-6C5D-0F48-E134952FBF19}">
    <xltc:text>Deployment readiness was reviewed from the repository and official project documentation. Re-check before procurement.</xltc:text>
  </xltc:threadedComment>
  <xltc:threadedComment ref="R7" dT="2026-07-20T17:05:55.945" personId="{21D62F83-E011-4476-AC05-6353C37D63F7}" id="{538A239D-12F0-ED49-3A38-3F6FCE72F877}">
    <xltc:text>Go-to-market fit is an editorial input. It measures direct relevance to sales, marketing, support or related data work.</xltc:text>
  </xltc:threadedComment>
  <xltc:threadedComment ref="Q8" dT="2026-07-20T17:05:55.945" personId="{21D62F83-E011-4476-AC05-6353C37D63F7}" id="{3A9D42E5-9DF8-01E7-DE30-58D4600120C8}">
    <xltc:text>Deployment readiness was reviewed from the repository and official project documentation. Re-check before procurement.</xltc:text>
  </xltc:threadedComment>
  <xltc:threadedComment ref="R8" dT="2026-07-20T17:05:55.945" personId="{21D62F83-E011-4476-AC05-6353C37D63F7}" id="{6B296A6C-E076-CDD5-C311-4F701E5AC3F5}">
    <xltc:text>Go-to-market fit is an editorial input. It measures direct relevance to sales, marketing, support or related data work.</xltc:text>
  </xltc:threadedComment>
  <xltc:threadedComment ref="Q9" dT="2026-07-20T17:05:55.945" personId="{21D62F83-E011-4476-AC05-6353C37D63F7}" id="{445E5310-A390-7171-17F1-61FC336FA19E}">
    <xltc:text>Deployment readiness was reviewed from the repository and official project documentation. Re-check before procurement.</xltc:text>
  </xltc:threadedComment>
  <xltc:threadedComment ref="R9" dT="2026-07-20T17:05:55.945" personId="{21D62F83-E011-4476-AC05-6353C37D63F7}" id="{CE69D575-9D29-2BE2-5EFA-8FADB2C4D5B7}">
    <xltc:text>Go-to-market fit is an editorial input. It measures direct relevance to sales, marketing, support or related data work.</xltc:text>
  </xltc:threadedComment>
  <xltc:threadedComment ref="Q10" dT="2026-07-20T17:05:55.945" personId="{21D62F83-E011-4476-AC05-6353C37D63F7}" id="{CD617B62-7FDC-99B0-7B44-5E4F17888B48}">
    <xltc:text>Deployment readiness was reviewed from the repository and official project documentation. Re-check before procurement.</xltc:text>
  </xltc:threadedComment>
  <xltc:threadedComment ref="R10" dT="2026-07-20T17:05:55.945" personId="{21D62F83-E011-4476-AC05-6353C37D63F7}" id="{5A9868F0-191E-66E9-16BE-5E7AC3EF4E76}">
    <xltc:text>Go-to-market fit is an editorial input. It measures direct relevance to sales, marketing, support or related data work.</xltc:text>
  </xltc:threadedComment>
  <xltc:threadedComment ref="Q11" dT="2026-07-20T17:05:55.945" personId="{21D62F83-E011-4476-AC05-6353C37D63F7}" id="{9C509945-1D8D-5814-E09C-F231DE5928D4}">
    <xltc:text>Deployment readiness was reviewed from the repository and official project documentation. Re-check before procurement.</xltc:text>
  </xltc:threadedComment>
  <xltc:threadedComment ref="R11" dT="2026-07-20T17:05:55.945" personId="{21D62F83-E011-4476-AC05-6353C37D63F7}" id="{AA4A66B0-6BC5-D9D7-CCF0-003C002C05D3}">
    <xltc:text>Go-to-market fit is an editorial input. It measures direct relevance to sales, marketing, support or related data work.</xltc:text>
  </xltc:threadedComment>
  <xltc:threadedComment ref="Q12" dT="2026-07-20T17:05:55.945" personId="{21D62F83-E011-4476-AC05-6353C37D63F7}" id="{122E1F62-2339-6ABD-E8DC-F54E731B300D}">
    <xltc:text>Deployment readiness was reviewed from the repository and official project documentation. Re-check before procurement.</xltc:text>
  </xltc:threadedComment>
  <xltc:threadedComment ref="R12" dT="2026-07-20T17:05:55.945" personId="{21D62F83-E011-4476-AC05-6353C37D63F7}" id="{6FF3848B-3DEB-C460-FC51-ABBD2868EDA1}">
    <xltc:text>Go-to-market fit is an editorial input. It measures direct relevance to sales, marketing, support or related data work.</xltc:text>
  </xltc:threadedComment>
  <xltc:threadedComment ref="Q13" dT="2026-07-20T17:05:55.946" personId="{21D62F83-E011-4476-AC05-6353C37D63F7}" id="{0BE33505-2AA4-4EEE-430F-F86A04814394}">
    <xltc:text>Deployment readiness was reviewed from the repository and official project documentation. Re-check before procurement.</xltc:text>
  </xltc:threadedComment>
  <xltc:threadedComment ref="R13" dT="2026-07-20T17:05:55.946" personId="{21D62F83-E011-4476-AC05-6353C37D63F7}" id="{218BA81A-8D16-CD66-6409-A2B8637D52CE}">
    <xltc:text>Go-to-market fit is an editorial input. It measures direct relevance to sales, marketing, support or related data work.</xltc:text>
  </xltc:threadedComment>
  <xltc:threadedComment ref="Q14" dT="2026-07-20T17:05:55.946" personId="{21D62F83-E011-4476-AC05-6353C37D63F7}" id="{1C8C4EF3-7F12-E165-2691-5781B92158BC}">
    <xltc:text>Deployment readiness was reviewed from the repository and official project documentation. Re-check before procurement.</xltc:text>
  </xltc:threadedComment>
  <xltc:threadedComment ref="R14" dT="2026-07-20T17:05:55.946" personId="{21D62F83-E011-4476-AC05-6353C37D63F7}" id="{E61F7CED-C9EE-6A15-869C-83A89B14DE5A}">
    <xltc:text>Go-to-market fit is an editorial input. It measures direct relevance to sales, marketing, support or related data work.</xltc:text>
  </xltc:threadedComment>
  <xltc:threadedComment ref="Q15" dT="2026-07-20T17:05:55.946" personId="{21D62F83-E011-4476-AC05-6353C37D63F7}" id="{F794713F-56CD-85E0-E3A4-F313BD14F136}">
    <xltc:text>Deployment readiness was reviewed from the repository and official project documentation. Re-check before procurement.</xltc:text>
  </xltc:threadedComment>
  <xltc:threadedComment ref="R15" dT="2026-07-20T17:05:55.946" personId="{21D62F83-E011-4476-AC05-6353C37D63F7}" id="{3A5AF551-3732-8DD3-1AB3-31DBC62CE4A5}">
    <xltc:text>Go-to-market fit is an editorial input. It measures direct relevance to sales, marketing, support or related data work.</xltc:text>
  </xltc:threadedComment>
  <xltc:threadedComment ref="Q16" dT="2026-07-20T17:05:55.946" personId="{21D62F83-E011-4476-AC05-6353C37D63F7}" id="{4DB84BFC-233F-D4D3-F323-6EBA23DF1910}">
    <xltc:text>Deployment readiness was reviewed from the repository and official project documentation. Re-check before procurement.</xltc:text>
  </xltc:threadedComment>
  <xltc:threadedComment ref="R16" dT="2026-07-20T17:05:55.946" personId="{21D62F83-E011-4476-AC05-6353C37D63F7}" id="{394BB4D9-EACA-B331-9A43-690B190B6E4B}">
    <xltc:text>Go-to-market fit is an editorial input. It measures direct relevance to sales, marketing, support or related data work.</xltc:text>
  </xltc:threadedComment>
  <xltc:threadedComment ref="Q17" dT="2026-07-20T17:05:55.946" personId="{21D62F83-E011-4476-AC05-6353C37D63F7}" id="{8A561808-3FC7-2BE0-2A2E-1A925315CA84}">
    <xltc:text>Deployment readiness was reviewed from the repository and official project documentation. Re-check before procurement.</xltc:text>
  </xltc:threadedComment>
  <xltc:threadedComment ref="R17" dT="2026-07-20T17:05:55.946" personId="{21D62F83-E011-4476-AC05-6353C37D63F7}" id="{683C7D04-8954-461C-8F78-56BF4E8AD253}">
    <xltc:text>Go-to-market fit is an editorial input. It measures direct relevance to sales, marketing, support or related data work.</xltc:text>
  </xltc:threadedComment>
  <xltc:threadedComment ref="Q18" dT="2026-07-20T17:05:55.946" personId="{21D62F83-E011-4476-AC05-6353C37D63F7}" id="{E49053C0-5FFD-1F39-7DA3-CBC19C51E3F4}">
    <xltc:text>Deployment readiness was reviewed from the repository and official project documentation. Re-check before procurement.</xltc:text>
  </xltc:threadedComment>
  <xltc:threadedComment ref="R18" dT="2026-07-20T17:05:55.946" personId="{21D62F83-E011-4476-AC05-6353C37D63F7}" id="{DBD52392-ED06-8DA0-AEB6-E2EFF8A14FE9}">
    <xltc:text>Go-to-market fit is an editorial input. It measures direct relevance to sales, marketing, support or related data work.</xltc:text>
  </xltc:threadedComment>
  <xltc:threadedComment ref="Q19" dT="2026-07-20T17:05:55.946" personId="{21D62F83-E011-4476-AC05-6353C37D63F7}" id="{9D4555A7-A4E4-0CD8-1CD1-3EC04FBC8768}">
    <xltc:text>Deployment readiness was reviewed from the repository and official project documentation. Re-check before procurement.</xltc:text>
  </xltc:threadedComment>
  <xltc:threadedComment ref="R19" dT="2026-07-20T17:05:55.946" personId="{21D62F83-E011-4476-AC05-6353C37D63F7}" id="{B32E1D47-9F96-9DE0-801E-7C35AB9DD2EC}">
    <xltc:text>Go-to-market fit is an editorial input. It measures direct relevance to sales, marketing, support or related data work.</xltc:text>
  </xltc:threadedComment>
  <xltc:threadedComment ref="Q20" dT="2026-07-20T17:05:55.946" personId="{21D62F83-E011-4476-AC05-6353C37D63F7}" id="{0AE99521-A290-8522-7B2B-CCBC2E224355}">
    <xltc:text>Deployment readiness was reviewed from the repository and official project documentation. Re-check before procurement.</xltc:text>
  </xltc:threadedComment>
  <xltc:threadedComment ref="R20" dT="2026-07-20T17:05:55.946" personId="{21D62F83-E011-4476-AC05-6353C37D63F7}" id="{3469F6E0-B23C-9FA4-0199-80A28D8E327B}">
    <xltc:text>Go-to-market fit is an editorial input. It measures direct relevance to sales, marketing, support or related data work.</xltc:text>
  </xltc:threadedComment>
  <xltc:threadedComment ref="Q21" dT="2026-07-20T17:05:55.946" personId="{21D62F83-E011-4476-AC05-6353C37D63F7}" id="{B795E33D-E688-873B-1BCE-42B56532A19B}">
    <xltc:text>Deployment readiness was reviewed from the repository and official project documentation. Re-check before procurement.</xltc:text>
  </xltc:threadedComment>
  <xltc:threadedComment ref="R21" dT="2026-07-20T17:05:55.946" personId="{21D62F83-E011-4476-AC05-6353C37D63F7}" id="{2A3EAD3C-33D6-ED3A-F7A0-8395E327CA1B}">
    <xltc:text>Go-to-market fit is an editorial input. It measures direct relevance to sales, marketing, support or related data work.</xltc:text>
  </xltc:threadedComment>
  <xltc:threadedComment ref="Q22" dT="2026-07-20T17:05:55.946" personId="{21D62F83-E011-4476-AC05-6353C37D63F7}" id="{2EE5FBDB-EB53-5640-77F0-3D54039A8D7E}">
    <xltc:text>Deployment readiness was reviewed from the repository and official project documentation. Re-check before procurement.</xltc:text>
  </xltc:threadedComment>
  <xltc:threadedComment ref="R22" dT="2026-07-20T17:05:55.946" personId="{21D62F83-E011-4476-AC05-6353C37D63F7}" id="{1A904B1D-105B-8F94-79DD-DA1142B85302}">
    <xltc:text>Go-to-market fit is an editorial input. It measures direct relevance to sales, marketing, support or related data work.</xltc:text>
  </xltc:threadedComment>
  <xltc:threadedComment ref="Q23" dT="2026-07-20T17:05:55.946" personId="{21D62F83-E011-4476-AC05-6353C37D63F7}" id="{AB89AA9B-D782-89CB-2649-C48F65916E6F}">
    <xltc:text>Deployment readiness was reviewed from the repository and official project documentation. Re-check before procurement.</xltc:text>
  </xltc:threadedComment>
  <xltc:threadedComment ref="R23" dT="2026-07-20T17:05:55.946" personId="{21D62F83-E011-4476-AC05-6353C37D63F7}" id="{A49C31E7-A20C-37A4-4094-493A8EC02EFB}">
    <xltc:text>Go-to-market fit is an editorial input. It measures direct relevance to sales, marketing, support or related data work.</xltc:text>
  </xltc:threadedComment>
  <xltc:threadedComment ref="Q24" dT="2026-07-20T17:05:55.946" personId="{21D62F83-E011-4476-AC05-6353C37D63F7}" id="{FFD6C8CE-EA06-F72D-3506-140A12F9DF92}">
    <xltc:text>Deployment readiness was reviewed from the repository and official project documentation. Re-check before procurement.</xltc:text>
  </xltc:threadedComment>
  <xltc:threadedComment ref="R24" dT="2026-07-20T17:05:55.946" personId="{21D62F83-E011-4476-AC05-6353C37D63F7}" id="{A2131E27-285F-6A51-6851-98C391D062C5}">
    <xltc:text>Go-to-market fit is an editorial input. It measures direct relevance to sales, marketing, support or related data work.</xltc:text>
  </xltc:threadedComment>
  <xltc:threadedComment ref="Q25" dT="2026-07-20T17:05:55.946" personId="{21D62F83-E011-4476-AC05-6353C37D63F7}" id="{56CC61D8-543F-4038-EBCD-8455C987C7D7}">
    <xltc:text>Deployment readiness was reviewed from the repository and official project documentation. Re-check before procurement.</xltc:text>
  </xltc:threadedComment>
  <xltc:threadedComment ref="R25" dT="2026-07-20T17:05:55.946" personId="{21D62F83-E011-4476-AC05-6353C37D63F7}" id="{5403E682-E010-4202-9E9F-6A46FC30E463}">
    <xltc:text>Go-to-market fit is an editorial input. It measures direct relevance to sales, marketing, support or related data work.</xltc:text>
  </xltc:threadedComment>
  <xltc:threadedComment ref="Q26" dT="2026-07-20T17:05:55.946" personId="{21D62F83-E011-4476-AC05-6353C37D63F7}" id="{56D6EF52-8B5D-6084-AE45-7DAFB8BA6BF4}">
    <xltc:text>Deployment readiness was reviewed from the repository and official project documentation. Re-check before procurement.</xltc:text>
  </xltc:threadedComment>
  <xltc:threadedComment ref="R26" dT="2026-07-20T17:05:55.946" personId="{21D62F83-E011-4476-AC05-6353C37D63F7}" id="{BD17C676-D94D-AA55-992E-191E3C12AFB9}">
    <xltc:text>Go-to-market fit is an editorial input. It measures direct relevance to sales, marketing, support or related data work.</xltc:text>
  </xltc:threadedComment>
  <xltc:threadedComment ref="Q27" dT="2026-07-20T17:05:55.946" personId="{21D62F83-E011-4476-AC05-6353C37D63F7}" id="{0F4FEFBB-5A0F-4DC1-0F5E-643B35CB3700}">
    <xltc:text>Deployment readiness was reviewed from the repository and official project documentation. Re-check before procurement.</xltc:text>
  </xltc:threadedComment>
  <xltc:threadedComment ref="R27" dT="2026-07-20T17:05:55.946" personId="{21D62F83-E011-4476-AC05-6353C37D63F7}" id="{B495E08D-2A16-1548-7CA1-84BEF577C97B}">
    <xltc:text>Go-to-market fit is an editorial input. It measures direct relevance to sales, marketing, support or related data work.</xltc:text>
  </xltc:threadedComment>
  <xltc:threadedComment ref="Q28" dT="2026-07-20T17:05:55.946" personId="{21D62F83-E011-4476-AC05-6353C37D63F7}" id="{36B9B2E7-0EC7-FD06-8858-64E3F3D39CCF}">
    <xltc:text>Deployment readiness was reviewed from the repository and official project documentation. Re-check before procurement.</xltc:text>
  </xltc:threadedComment>
  <xltc:threadedComment ref="R28" dT="2026-07-20T17:05:55.946" personId="{21D62F83-E011-4476-AC05-6353C37D63F7}" id="{FC247B9A-3A1A-CF7A-DB10-9AA461D75922}">
    <xltc:text>Go-to-market fit is an editorial input. It measures direct relevance to sales, marketing, support or related data work.</xltc:text>
  </xltc:threadedComment>
  <xltc:threadedComment ref="Q29" dT="2026-07-20T17:05:55.946" personId="{21D62F83-E011-4476-AC05-6353C37D63F7}" id="{55B6C189-28EF-2048-E37E-543FEEC8BD1D}">
    <xltc:text>Deployment readiness was reviewed from the repository and official project documentation. Re-check before procurement.</xltc:text>
  </xltc:threadedComment>
  <xltc:threadedComment ref="R29" dT="2026-07-20T17:05:55.946" personId="{21D62F83-E011-4476-AC05-6353C37D63F7}" id="{DD6E62ED-799B-7724-946B-2E9789A6BE0E}">
    <xltc:text>Go-to-market fit is an editorial input. It measures direct relevance to sales, marketing, support or related data work.</xltc:text>
  </xltc:threadedComment>
  <xltc:threadedComment ref="Q30" dT="2026-07-20T17:05:55.946" personId="{21D62F83-E011-4476-AC05-6353C37D63F7}" id="{CACC541A-DDD8-3B8C-4449-C3A8014AA13F}">
    <xltc:text>Deployment readiness was reviewed from the repository and official project documentation. Re-check before procurement.</xltc:text>
  </xltc:threadedComment>
  <xltc:threadedComment ref="R30" dT="2026-07-20T17:05:55.946" personId="{21D62F83-E011-4476-AC05-6353C37D63F7}" id="{F04BCFBA-AAAF-46FB-9E7D-8320FAA08DC6}">
    <xltc:text>Go-to-market fit is an editorial input. It measures direct relevance to sales, marketing, support or related data work.</xltc:text>
  </xltc:threadedComment>
  <xltc:threadedComment ref="Q31" dT="2026-07-20T17:05:55.946" personId="{21D62F83-E011-4476-AC05-6353C37D63F7}" id="{0778FF4F-3CF2-DB26-B7D9-8D4BEE0B7E07}">
    <xltc:text>Deployment readiness was reviewed from the repository and official project documentation. Re-check before procurement.</xltc:text>
  </xltc:threadedComment>
  <xltc:threadedComment ref="R31" dT="2026-07-20T17:05:55.946" personId="{21D62F83-E011-4476-AC05-6353C37D63F7}" id="{F686DE6A-04F1-50B3-2DBC-E6E455F40B22}">
    <xltc:text>Go-to-market fit is an editorial input. It measures direct relevance to sales, marketing, support or related data work.</xltc:text>
  </xltc:threadedComment>
  <xltc:threadedComment ref="Q32" dT="2026-07-20T17:05:55.946" personId="{21D62F83-E011-4476-AC05-6353C37D63F7}" id="{09807F35-BA29-5025-25AE-32015FA30891}">
    <xltc:text>Deployment readiness was reviewed from the repository and official project documentation. Re-check before procurement.</xltc:text>
  </xltc:threadedComment>
  <xltc:threadedComment ref="R32" dT="2026-07-20T17:05:55.946" personId="{21D62F83-E011-4476-AC05-6353C37D63F7}" id="{6FE4E90B-A49F-0A25-2C82-246837B2312A}">
    <xltc:text>Go-to-market fit is an editorial input. It measures direct relevance to sales, marketing, support or related data work.</xltc:text>
  </xltc:threadedComment>
  <xltc:threadedComment ref="Q33" dT="2026-07-20T17:05:55.946" personId="{21D62F83-E011-4476-AC05-6353C37D63F7}" id="{B345A74B-0140-6333-62E5-E7A638490471}">
    <xltc:text>Deployment readiness was reviewed from the repository and official project documentation. Re-check before procurement.</xltc:text>
  </xltc:threadedComment>
  <xltc:threadedComment ref="R33" dT="2026-07-20T17:05:55.946" personId="{21D62F83-E011-4476-AC05-6353C37D63F7}" id="{9120EB8E-1C55-2C92-269D-62FDCEC52E90}">
    <xltc:text>Go-to-market fit is an editorial input. It measures direct relevance to sales, marketing, support or related data work.</xltc:text>
  </xltc:threadedComment>
  <xltc:threadedComment ref="Q34" dT="2026-07-20T17:05:55.946" personId="{21D62F83-E011-4476-AC05-6353C37D63F7}" id="{70D7B5D7-A668-4746-047B-8BA29B8D6AB8}">
    <xltc:text>Deployment readiness was reviewed from the repository and official project documentation. Re-check before procurement.</xltc:text>
  </xltc:threadedComment>
  <xltc:threadedComment ref="R34" dT="2026-07-20T17:05:55.946" personId="{21D62F83-E011-4476-AC05-6353C37D63F7}" id="{826205CA-0325-C1BD-3882-D574924FE5E6}">
    <xltc:text>Go-to-market fit is an editorial input. It measures direct relevance to sales, marketing, support or related data work.</xltc:text>
  </xltc:threadedComment>
  <xltc:threadedComment ref="Q35" dT="2026-07-20T17:05:55.946" personId="{21D62F83-E011-4476-AC05-6353C37D63F7}" id="{92632548-C888-1024-8EC0-617B75D23442}">
    <xltc:text>Deployment readiness was reviewed from the repository and official project documentation. Re-check before procurement.</xltc:text>
  </xltc:threadedComment>
  <xltc:threadedComment ref="R35" dT="2026-07-20T17:05:55.946" personId="{21D62F83-E011-4476-AC05-6353C37D63F7}" id="{D039967A-DAB1-5BE9-0E21-66E3A01BBF69}">
    <xltc:text>Go-to-market fit is an editorial input. It measures direct relevance to sales, marketing, support or related data work.</xltc:text>
  </xltc:threadedComment>
  <xltc:threadedComment ref="Q36" dT="2026-07-20T17:05:55.946" personId="{21D62F83-E011-4476-AC05-6353C37D63F7}" id="{B7660BA1-62F0-071A-47C2-F03514F5DED0}">
    <xltc:text>Deployment readiness was reviewed from the repository and official project documentation. Re-check before procurement.</xltc:text>
  </xltc:threadedComment>
  <xltc:threadedComment ref="R36" dT="2026-07-20T17:05:55.946" personId="{21D62F83-E011-4476-AC05-6353C37D63F7}" id="{FDF22C45-A917-15C3-11EA-E5101A6C30E8}">
    <xltc:text>Go-to-market fit is an editorial input. It measures direct relevance to sales, marketing, support or related data work.</xltc:text>
  </xltc:threadedComment>
  <xltc:threadedComment ref="Q37" dT="2026-07-20T17:05:55.946" personId="{21D62F83-E011-4476-AC05-6353C37D63F7}" id="{F2B10521-4033-22AF-1864-B26063B7201D}">
    <xltc:text>Deployment readiness was reviewed from the repository and official project documentation. Re-check before procurement.</xltc:text>
  </xltc:threadedComment>
  <xltc:threadedComment ref="R37" dT="2026-07-20T17:05:55.946" personId="{21D62F83-E011-4476-AC05-6353C37D63F7}" id="{90BE52EE-D804-3932-5931-F32E0B943ADB}">
    <xltc:text>Go-to-market fit is an editorial input. It measures direct relevance to sales, marketing, support or related data work.</xltc:text>
  </xltc:threadedComment>
  <xltc:threadedComment ref="Q38" dT="2026-07-20T17:05:55.946" personId="{21D62F83-E011-4476-AC05-6353C37D63F7}" id="{B1F5C5EE-E77C-B62D-D920-855C37E634C2}">
    <xltc:text>Deployment readiness was reviewed from the repository and official project documentation. Re-check before procurement.</xltc:text>
  </xltc:threadedComment>
  <xltc:threadedComment ref="R38" dT="2026-07-20T17:05:55.946" personId="{21D62F83-E011-4476-AC05-6353C37D63F7}" id="{3A82D22D-2125-E00A-342A-42AF51168655}">
    <xltc:text>Go-to-market fit is an editorial input. It measures direct relevance to sales, marketing, support or related data work.</xltc:text>
  </xltc:threadedComment>
  <xltc:threadedComment ref="Q39" dT="2026-07-20T17:05:55.946" personId="{21D62F83-E011-4476-AC05-6353C37D63F7}" id="{3E5F2711-1919-3757-5B77-3D2A19B6D446}">
    <xltc:text>Deployment readiness was reviewed from the repository and official project documentation. Re-check before procurement.</xltc:text>
  </xltc:threadedComment>
  <xltc:threadedComment ref="R39" dT="2026-07-20T17:05:55.946" personId="{21D62F83-E011-4476-AC05-6353C37D63F7}" id="{52C5A655-F2E3-DE48-06C7-1B3A2E2024A2}">
    <xltc:text>Go-to-market fit is an editorial input. It measures direct relevance to sales, marketing, support or related data work.</xltc:text>
  </xltc:threadedComment>
  <xltc:threadedComment ref="Q40" dT="2026-07-20T17:05:55.946" personId="{21D62F83-E011-4476-AC05-6353C37D63F7}" id="{B7F0CBA6-B633-71DB-C123-EDA4293ACE04}">
    <xltc:text>Deployment readiness was reviewed from the repository and official project documentation. Re-check before procurement.</xltc:text>
  </xltc:threadedComment>
  <xltc:threadedComment ref="R40" dT="2026-07-20T17:05:55.946" personId="{21D62F83-E011-4476-AC05-6353C37D63F7}" id="{BFE139E7-448D-E001-2756-696FB6FBCA1D}">
    <xltc:text>Go-to-market fit is an editorial input. It measures direct relevance to sales, marketing, support or related data work.</xltc:text>
  </xltc:threadedComment>
  <xltc:threadedComment ref="Q41" dT="2026-07-20T17:05:55.946" personId="{21D62F83-E011-4476-AC05-6353C37D63F7}" id="{03C31DBA-2CF0-C6AD-ADAE-726D97FD65AD}">
    <xltc:text>Deployment readiness was reviewed from the repository and official project documentation. Re-check before procurement.</xltc:text>
  </xltc:threadedComment>
  <xltc:threadedComment ref="R41" dT="2026-07-20T17:05:55.946" personId="{21D62F83-E011-4476-AC05-6353C37D63F7}" id="{D04731B7-5B2B-27A1-84A3-FA2BAB9B4765}">
    <xltc:text>Go-to-market fit is an editorial input. It measures direct relevance to sales, marketing, support or related data work.</xltc:text>
  </xltc:threadedComment>
  <xltc:threadedComment ref="Q42" dT="2026-07-20T17:05:55.946" personId="{21D62F83-E011-4476-AC05-6353C37D63F7}" id="{B7AD6797-E576-607C-D637-722FB39FDF9D}">
    <xltc:text>Deployment readiness was reviewed from the repository and official project documentation. Re-check before procurement.</xltc:text>
  </xltc:threadedComment>
  <xltc:threadedComment ref="R42" dT="2026-07-20T17:05:55.946" personId="{21D62F83-E011-4476-AC05-6353C37D63F7}" id="{38B04F2B-F576-D1A1-2EA4-C596E6EF1940}">
    <xltc:text>Go-to-market fit is an editorial input. It measures direct relevance to sales, marketing, support or related data work.</xltc:text>
  </xltc:threadedComment>
  <xltc:threadedComment ref="Q43" dT="2026-07-20T17:05:55.946" personId="{21D62F83-E011-4476-AC05-6353C37D63F7}" id="{CA9CBB8A-CB38-B49E-A213-BFA448EBD141}">
    <xltc:text>Deployment readiness was reviewed from the repository and official project documentation. Re-check before procurement.</xltc:text>
  </xltc:threadedComment>
  <xltc:threadedComment ref="R43" dT="2026-07-20T17:05:55.946" personId="{21D62F83-E011-4476-AC05-6353C37D63F7}" id="{DED05A12-0203-CA35-4FB2-CD1B0102B566}">
    <xltc:text>Go-to-market fit is an editorial input. It measures direct relevance to sales, marketing, support or related data work.</xltc:text>
  </xltc:threadedComment>
  <xltc:threadedComment ref="Q44" dT="2026-07-20T17:05:55.946" personId="{21D62F83-E011-4476-AC05-6353C37D63F7}" id="{4186623C-F11B-B33A-24CC-9660358E0441}">
    <xltc:text>Deployment readiness was reviewed from the repository and official project documentation. Re-check before procurement.</xltc:text>
  </xltc:threadedComment>
  <xltc:threadedComment ref="R44" dT="2026-07-20T17:05:55.946" personId="{21D62F83-E011-4476-AC05-6353C37D63F7}" id="{2E7F7362-A123-FC5D-B9B2-E77FFE237B55}">
    <xltc:text>Go-to-market fit is an editorial input. It measures direct relevance to sales, marketing, support or related data work.</xltc:text>
  </xltc:threadedComment>
  <xltc:threadedComment ref="Q45" dT="2026-07-20T17:05:55.946" personId="{21D62F83-E011-4476-AC05-6353C37D63F7}" id="{FC203B65-C890-B38C-8D2E-D17757C1A669}">
    <xltc:text>Deployment readiness was reviewed from the repository and official project documentation. Re-check before procurement.</xltc:text>
  </xltc:threadedComment>
  <xltc:threadedComment ref="R45" dT="2026-07-20T17:05:55.946" personId="{21D62F83-E011-4476-AC05-6353C37D63F7}" id="{77AD632A-E338-0410-F875-EAB593461D6B}">
    <xltc:text>Go-to-market fit is an editorial input. It measures direct relevance to sales, marketing, support or related data work.</xltc:text>
  </xltc:threadedComment>
  <xltc:threadedComment ref="Q46" dT="2026-07-20T17:05:55.946" personId="{21D62F83-E011-4476-AC05-6353C37D63F7}" id="{36B129E3-21A4-C2FB-350C-3F07211630DD}">
    <xltc:text>Deployment readiness was reviewed from the repository and official project documentation. Re-check before procurement.</xltc:text>
  </xltc:threadedComment>
  <xltc:threadedComment ref="R46" dT="2026-07-20T17:05:55.946" personId="{21D62F83-E011-4476-AC05-6353C37D63F7}" id="{9C274C8E-C6EC-446A-CC23-A9009E1D3CB7}">
    <xltc:text>Go-to-market fit is an editorial input. It measures direct relevance to sales, marketing, support or related data work.</xltc:text>
  </xltc:threadedComment>
  <xltc:threadedComment ref="Q47" dT="2026-07-20T17:05:55.946" personId="{21D62F83-E011-4476-AC05-6353C37D63F7}" id="{A4C7B243-E238-044C-FDE9-2897D29973DD}">
    <xltc:text>Deployment readiness was reviewed from the repository and official project documentation. Re-check before procurement.</xltc:text>
  </xltc:threadedComment>
  <xltc:threadedComment ref="R47" dT="2026-07-20T17:05:55.946" personId="{21D62F83-E011-4476-AC05-6353C37D63F7}" id="{67EFC6D8-AD1B-3E7B-2B3F-66B0AC470735}">
    <xltc:text>Go-to-market fit is an editorial input. It measures direct relevance to sales, marketing, support or related data work.</xltc:text>
  </xltc:threadedComment>
  <xltc:threadedComment ref="Q48" dT="2026-07-20T17:05:55.946" personId="{21D62F83-E011-4476-AC05-6353C37D63F7}" id="{FBED8831-D220-CD95-8B6A-106CABE2E7A5}">
    <xltc:text>Deployment readiness was reviewed from the repository and official project documentation. Re-check before procurement.</xltc:text>
  </xltc:threadedComment>
  <xltc:threadedComment ref="R48" dT="2026-07-20T17:05:55.946" personId="{21D62F83-E011-4476-AC05-6353C37D63F7}" id="{563D836B-9121-25E0-72BE-44184FFFD226}">
    <xltc:text>Go-to-market fit is an editorial input. It measures direct relevance to sales, marketing, support or related data work.</xltc:text>
  </xltc:threadedComment>
  <xltc:threadedComment ref="Q49" dT="2026-07-20T17:05:55.946" personId="{21D62F83-E011-4476-AC05-6353C37D63F7}" id="{E2DE479A-C7F7-FBE0-B4D3-31D4183CE9B8}">
    <xltc:text>Deployment readiness was reviewed from the repository and official project documentation. Re-check before procurement.</xltc:text>
  </xltc:threadedComment>
  <xltc:threadedComment ref="R49" dT="2026-07-20T17:05:55.946" personId="{21D62F83-E011-4476-AC05-6353C37D63F7}" id="{05AADAA5-EF26-CD14-5A6B-C5B63C9FDEE2}">
    <xltc:text>Go-to-market fit is an editorial input. It measures direct relevance to sales, marketing, support or related data work.</xltc:text>
  </xltc:threadedComment>
  <xltc:threadedComment ref="Q50" dT="2026-07-20T17:05:55.946" personId="{21D62F83-E011-4476-AC05-6353C37D63F7}" id="{804B7196-080C-69BC-B974-8D8E5626B0A0}">
    <xltc:text>Deployment readiness was reviewed from the repository and official project documentation. Re-check before procurement.</xltc:text>
  </xltc:threadedComment>
  <xltc:threadedComment ref="R50" dT="2026-07-20T17:05:55.946" personId="{21D62F83-E011-4476-AC05-6353C37D63F7}" id="{EE6E0C6F-DAFA-F717-F9A6-19B3709C1E73}">
    <xltc:text>Go-to-market fit is an editorial input. It measures direct relevance to sales, marketing, support or related data work.</xltc:text>
  </xltc:threadedComment>
  <xltc:threadedComment ref="Q51" dT="2026-07-20T17:05:55.946" personId="{21D62F83-E011-4476-AC05-6353C37D63F7}" id="{133DBD8D-1027-7B49-A27E-FC9725F8E5BA}">
    <xltc:text>Deployment readiness was reviewed from the repository and official project documentation. Re-check before procurement.</xltc:text>
  </xltc:threadedComment>
  <xltc:threadedComment ref="R51" dT="2026-07-20T17:05:55.946" personId="{21D62F83-E011-4476-AC05-6353C37D63F7}" id="{A5E8BA51-77AB-79E1-BDA4-3D4C80414D87}">
    <xltc:text>Go-to-market fit is an editorial input. It measures direct relevance to sales, marketing, support or related data work.</xltc:text>
  </xltc:threadedComment>
  <xltc:threadedComment ref="Q52" dT="2026-07-20T17:05:55.946" personId="{21D62F83-E011-4476-AC05-6353C37D63F7}" id="{1AE31A61-1DA7-0CCA-C59F-63BB1FAC314D}">
    <xltc:text>Deployment readiness was reviewed from the repository and official project documentation. Re-check before procurement.</xltc:text>
  </xltc:threadedComment>
  <xltc:threadedComment ref="R52" dT="2026-07-20T17:05:55.946" personId="{21D62F83-E011-4476-AC05-6353C37D63F7}" id="{C8433E27-644E-7DA9-ADBC-44147A180E77}">
    <xltc:text>Go-to-market fit is an editorial input. It measures direct relevance to sales, marketing, support or related data work.</xltc:text>
  </xltc:threadedComment>
  <xltc:threadedComment ref="Q53" dT="2026-07-20T17:05:55.946" personId="{21D62F83-E011-4476-AC05-6353C37D63F7}" id="{A979C0CE-AF7A-E34D-D8FD-89ADEB74302F}">
    <xltc:text>Deployment readiness was reviewed from the repository and official project documentation. Re-check before procurement.</xltc:text>
  </xltc:threadedComment>
  <xltc:threadedComment ref="R53" dT="2026-07-20T17:05:55.946" personId="{21D62F83-E011-4476-AC05-6353C37D63F7}" id="{600A73D4-7547-85CC-95D3-1FD7E6B3637F}">
    <xltc:text>Go-to-market fit is an editorial input. It measures direct relevance to sales, marketing, support or related data work.</xltc:text>
  </xltc:threadedComment>
  <xltc:threadedComment ref="Q54" dT="2026-07-20T17:05:55.946" personId="{21D62F83-E011-4476-AC05-6353C37D63F7}" id="{2C054D51-5B28-8021-B8D9-9F4D9EAE3800}">
    <xltc:text>Deployment readiness was reviewed from the repository and official project documentation. Re-check before procurement.</xltc:text>
  </xltc:threadedComment>
  <xltc:threadedComment ref="R54" dT="2026-07-20T17:05:55.946" personId="{21D62F83-E011-4476-AC05-6353C37D63F7}" id="{3F1355B4-23C8-FF02-6E7F-DFE60291B849}">
    <xltc:text>Go-to-market fit is an editorial input. It measures direct relevance to sales, marketing, support or related data work.</xltc:text>
  </xltc:threadedComment>
  <xltc:threadedComment ref="Q55" dT="2026-07-20T17:05:55.946" personId="{21D62F83-E011-4476-AC05-6353C37D63F7}" id="{44C042A1-B3F9-C3EF-0C99-F791044DF64B}">
    <xltc:text>Deployment readiness was reviewed from the repository and official project documentation. Re-check before procurement.</xltc:text>
  </xltc:threadedComment>
  <xltc:threadedComment ref="R55" dT="2026-07-20T17:05:55.946" personId="{21D62F83-E011-4476-AC05-6353C37D63F7}" id="{0CA6BF96-41C0-CCD6-C9D7-DB7AB59B1F67}">
    <xltc:text>Go-to-market fit is an editorial input. It measures direct relevance to sales, marketing, support or related data work.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9b3ca78ced41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cbc2e56c13b4d14" /><Relationship Type="http://schemas.openxmlformats.org/officeDocument/2006/relationships/vmlDrawing" Target="/xl/drawings/vmldrawing.vml" Id="Rbf7bb67b5a0b4460" /><Relationship Type="http://schemas.microsoft.com/office/2017/10/relationships/threadedComment" Target="/xl/threadedcomments/threadedcomment.xml" Id="Rae7f006a9ca14e94" /><Relationship Type="http://schemas.openxmlformats.org/officeDocument/2006/relationships/table" Target="/xl/tables/table1.xml" Id="Rf6ac00aa9b42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2" hidden="0" customWidth="1"/>
    <x:col min="4" max="4" width="10" hidden="0" customWidth="1"/>
    <x:col min="5" max="5" width="12" hidden="0" customWidth="1"/>
    <x:col min="6" max="6" width="20" hidden="0" customWidth="1"/>
    <x:col min="7" max="7" width="27" hidden="0" customWidth="1"/>
    <x:col min="8" max="8" width="18" hidden="0" customWidth="1"/>
    <x:col min="10" max="10" width="28" hidden="0" customWidth="1"/>
    <x:col min="11" max="11" width="12" hidden="0" customWidth="1"/>
    <x:col min="13" max="13" width="12" hidden="0" customWidth="1"/>
    <x:col min="17" max="17" width="12" hidden="0" customWidth="1"/>
  </x:cols>
  <x:sheetData>
    <x:row r="1" ht="36" hidden="0" customHeight="1">
      <x:c r="A1" s="73" t="str">
        <x:v>OPEN GTM INDEX — research, rankings and product direction</x:v>
      </x:c>
      <x:c r="B1" s="73" t="str">
        <x:v>OPEN GTM INDEX — research, rankings and product direction</x:v>
      </x:c>
      <x:c r="C1" s="73" t="str">
        <x:v>OPEN GTM INDEX — research, rankings and product direction</x:v>
      </x:c>
      <x:c r="D1" s="73" t="str">
        <x:v>OPEN GTM INDEX — research, rankings and product direction</x:v>
      </x:c>
      <x:c r="E1" s="73" t="str">
        <x:v>OPEN GTM INDEX — research, rankings and product direction</x:v>
      </x:c>
      <x:c r="F1" s="73" t="str">
        <x:v>OPEN GTM INDEX — research, rankings and product direction</x:v>
      </x:c>
      <x:c r="G1" s="73" t="str">
        <x:v>OPEN GTM INDEX — research, rankings and product direction</x:v>
      </x:c>
      <x:c r="H1" s="73" t="str">
        <x:v>OPEN GTM INDEX — research, rankings and product direction</x:v>
      </x:c>
      <x:c r="I1" s="73" t="str">
        <x:v>OPEN GTM INDEX — research, rankings and product direction</x:v>
      </x:c>
      <x:c r="J1" s="73" t="str">
        <x:v>OPEN GTM INDEX — research, rankings and product direction</x:v>
      </x:c>
      <x:c r="K1" s="73" t="str">
        <x:v>OPEN GTM INDEX — research, rankings and product direction</x:v>
      </x:c>
      <x:c r="L1" s="73" t="str">
        <x:v>OPEN GTM INDEX — research, rankings and product direction</x:v>
      </x:c>
      <x:c r="M1" s="73" t="str">
        <x:v>OPEN GTM INDEX — research, rankings and product direction</x:v>
      </x:c>
      <x:c r="N1" s="73" t="str">
        <x:v>OPEN GTM INDEX — research, rankings and product direction</x:v>
      </x:c>
      <x:c r="O1" s="73" t="str">
        <x:v>OPEN GTM INDEX — research, rankings and product direction</x:v>
      </x:c>
      <x:c r="P1" s="73" t="str">
        <x:v>OPEN GTM INDEX — research, rankings and product direction</x:v>
      </x:c>
      <x:c r="Q1" s="73" t="str">
        <x:v>OPEN GTM INDEX — research, rankings and product direction</x:v>
      </x:c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75" t="str">
        <x:v>An open, reproducible alternative to closed go-to-market directories. Every row links to public evidence, every score input is visible, and restricted licences are kept outside the open-source rank.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15" hidden="0" customHeight="1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15" hidden="0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15" hidden="0" customHeight="1">
      <x:c r="A5" s="77" t="n">
        <x:f>COUNTIF('Tool Rankings'!$U$3:$U$55,"Yes")</x:f>
        <x:v>50</x:v>
      </x:c>
      <x:c r="B5" s="77"/>
      <x:c r="C5" s="78"/>
      <x:c r="D5" s="79" t="n">
        <x:f>COUNTA('Tool Rankings'!$C$3:$C$55)</x:f>
        <x:v>53</x:v>
      </x:c>
      <x:c r="E5" s="77"/>
      <x:c r="F5" s="78"/>
      <x:c r="G5" s="79" t="n">
        <x:f>COUNTA('Category Leaders'!$A$3:$A$15)</x:f>
        <x:v>13</x:v>
      </x:c>
      <x:c r="H5" s="77"/>
      <x:c r="I5" s="78"/>
      <x:c r="J5" s="79" t="n">
        <x:f>COUNTIFS('Tool Rankings'!$M$3:$M$55,"&lt;=30",'Tool Rankings'!$U$3:$U$55,"Yes")</x:f>
        <x:v>46</x:v>
      </x:c>
      <x:c r="K5" s="77"/>
      <x:c r="L5" s="78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15" hidden="0" customHeight="1">
      <x:c r="A6" s="77"/>
      <x:c r="B6" s="77"/>
      <x:c r="C6" s="78"/>
      <x:c r="D6" s="79"/>
      <x:c r="E6" s="77"/>
      <x:c r="F6" s="78"/>
      <x:c r="G6" s="79"/>
      <x:c r="H6" s="77"/>
      <x:c r="I6" s="78"/>
      <x:c r="J6" s="79"/>
      <x:c r="K6" s="77"/>
      <x:c r="L6" s="78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15" hidden="0" customHeight="1">
      <x:c r="A7" s="77"/>
      <x:c r="B7" s="77"/>
      <x:c r="C7" s="78"/>
      <x:c r="D7" s="79"/>
      <x:c r="E7" s="77"/>
      <x:c r="F7" s="78"/>
      <x:c r="G7" s="79"/>
      <x:c r="H7" s="77"/>
      <x:c r="I7" s="78"/>
      <x:c r="J7" s="79"/>
      <x:c r="K7" s="77"/>
      <x:c r="L7" s="78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15" hidden="0" customHeight="1">
      <x:c r="A8" s="80" t="str">
        <x:v>Ranked open-source tools</x:v>
      </x:c>
      <x:c r="B8" s="80" t="str">
        <x:v>Ranked open-source tools</x:v>
      </x:c>
      <x:c r="C8" s="80" t="str">
        <x:v>Ranked open-source tools</x:v>
      </x:c>
      <x:c r="D8" s="80" t="str">
        <x:v>Projects reviewed</x:v>
      </x:c>
      <x:c r="E8" s="80" t="str">
        <x:v>Projects reviewed</x:v>
      </x:c>
      <x:c r="F8" s="80" t="str">
        <x:v>Projects reviewed</x:v>
      </x:c>
      <x:c r="G8" s="80" t="str">
        <x:v>Categories</x:v>
      </x:c>
      <x:c r="H8" s="80" t="str">
        <x:v>Categories</x:v>
      </x:c>
      <x:c r="I8" s="80" t="str">
        <x:v>Categories</x:v>
      </x:c>
      <x:c r="J8" s="80" t="str">
        <x:v>Active in last 30 days</x:v>
      </x:c>
      <x:c r="K8" s="80" t="str">
        <x:v>Active in last 30 days</x:v>
      </x:c>
      <x:c r="L8" s="80" t="str">
        <x:v>Active in last 30 days</x:v>
      </x:c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15" hidden="0" customHeight="1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15" hidden="0" customHeight="1">
      <x:c r="A10" s="81" t="str">
        <x:v>Top 10 eligible projects by Open GTM Score</x:v>
      </x:c>
      <x:c r="B10" s="81" t="str">
        <x:v>Top 10 eligible projects by Open GTM Score</x:v>
      </x:c>
      <x:c r="C10" s="81" t="str">
        <x:v>Top 10 eligible projects by Open GTM Score</x:v>
      </x:c>
      <x:c r="D10" s="81" t="str">
        <x:v>Top 10 eligible projects by Open GTM Score</x:v>
      </x:c>
      <x:c r="E10" s="81" t="str">
        <x:v>Top 10 eligible projects by Open GTM Score</x:v>
      </x:c>
      <x:c r="F10" s="81" t="str">
        <x:v>Top 10 eligible projects by Open GTM Score</x:v>
      </x:c>
      <x:c r="G10" s="81" t="str">
        <x:v>Top 10 eligible projects by Open GTM Score</x:v>
      </x:c>
      <x:c r="H10" s="81" t="str">
        <x:v>Top 10 eligible projects by Open GTM Score</x:v>
      </x:c>
      <x:c r="I10" s="76"/>
      <x:c r="J10" s="76" t="str">
        <x:v>Category</x:v>
      </x:c>
      <x:c r="K10" s="76" t="str">
        <x:v>Eligible tools</x:v>
      </x:c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15" hidden="0" customHeight="1">
      <x:c r="A11" s="82" t="str">
        <x:v>Rank</x:v>
      </x:c>
      <x:c r="B11" s="82" t="str">
        <x:v>Tool</x:v>
      </x:c>
      <x:c r="C11" s="82" t="str">
        <x:v>Category</x:v>
      </x:c>
      <x:c r="D11" s="82" t="str">
        <x:v>Score</x:v>
      </x:c>
      <x:c r="E11" s="82" t="str">
        <x:v>Stars</x:v>
      </x:c>
      <x:c r="F11" s="82" t="str">
        <x:v>Licence model</x:v>
      </x:c>
      <x:c r="G11" s="82" t="str">
        <x:v>Replaces</x:v>
      </x:c>
      <x:c r="H11" s="82" t="str">
        <x:v>Recommendation</x:v>
      </x:c>
      <x:c r="I11" s="76"/>
      <x:c r="J11" s="76" t="str">
        <x:f>'Category Leaders'!A3</x:f>
        <x:v>AI Answer Visibility</x:v>
      </x:c>
      <x:c r="K11" s="76" t="n">
        <x:f>'Category Leaders'!B3</x:f>
        <x:v>0</x:v>
      </x:c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15" hidden="0" customHeight="1">
      <x:c r="A12" s="83" t="n">
        <x:f>'Tool Rankings'!A3</x:f>
        <x:v>1</x:v>
      </x:c>
      <x:c r="B12" s="83" t="str">
        <x:f>'Tool Rankings'!C3</x:f>
        <x:v>Cal.com</x:v>
      </x:c>
      <x:c r="C12" s="83" t="str">
        <x:f>'Tool Rankings'!D3</x:f>
        <x:v>Forms, Surveys &amp; Conversion</x:v>
      </x:c>
      <x:c r="D12" s="84" t="n">
        <x:f>'Tool Rankings'!T3</x:f>
        <x:v>93.8</x:v>
      </x:c>
      <x:c r="E12" s="85" t="n">
        <x:f>'Tool Rankings'!I3</x:f>
        <x:v>46636</x:v>
      </x:c>
      <x:c r="F12" s="83" t="str">
        <x:f>'Tool Rankings'!H3</x:f>
        <x:v>Permissive open source</x:v>
      </x:c>
      <x:c r="G12" s="83" t="str">
        <x:f>'Tool Rankings'!E3</x:f>
        <x:v>Calendly; Chili Piper</x:v>
      </x:c>
      <x:c r="H12" s="83" t="str">
        <x:f>'Tool Rankings'!W3</x:f>
        <x:v>Strong shortlist</x:v>
      </x:c>
      <x:c r="I12" s="76"/>
      <x:c r="J12" s="76" t="str">
        <x:f>'Category Leaders'!A4</x:f>
        <x:v>Agent &amp; GTM Developer Tools</x:v>
      </x:c>
      <x:c r="K12" s="76" t="n">
        <x:f>'Category Leaders'!B4</x:f>
        <x:v>5</x:v>
      </x:c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15" hidden="0" customHeight="1">
      <x:c r="A13" s="83" t="n">
        <x:f>'Tool Rankings'!A4</x:f>
        <x:v>2</x:v>
      </x:c>
      <x:c r="B13" s="83" t="str">
        <x:f>'Tool Rankings'!C4</x:f>
        <x:v>Chatwoot</x:v>
      </x:c>
      <x:c r="C13" s="83" t="str">
        <x:f>'Tool Rankings'!D4</x:f>
        <x:v>Customer Support &amp; Success</x:v>
      </x:c>
      <x:c r="D13" s="84" t="n">
        <x:f>'Tool Rankings'!T4</x:f>
        <x:v>93.3</x:v>
      </x:c>
      <x:c r="E13" s="85" t="n">
        <x:f>'Tool Rankings'!I4</x:f>
        <x:v>34579</x:v>
      </x:c>
      <x:c r="F13" s="83" t="str">
        <x:f>'Tool Rankings'!H4</x:f>
        <x:v>Open core (permissive)</x:v>
      </x:c>
      <x:c r="G13" s="83" t="str">
        <x:f>'Tool Rankings'!E4</x:f>
        <x:v>Intercom; Zendesk</x:v>
      </x:c>
      <x:c r="H13" s="83" t="str">
        <x:f>'Tool Rankings'!W4</x:f>
        <x:v>Strong shortlist</x:v>
      </x:c>
      <x:c r="I13" s="76"/>
      <x:c r="J13" s="76" t="str">
        <x:f>'Category Leaders'!A5</x:f>
        <x:v>Analytics &amp; Experimentation</x:v>
      </x:c>
      <x:c r="K13" s="76" t="n">
        <x:f>'Category Leaders'!B5</x:f>
        <x:v>6</x:v>
      </x:c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15" hidden="0" customHeight="1">
      <x:c r="A14" s="83" t="n">
        <x:f>'Tool Rankings'!A5</x:f>
        <x:v>2</x:v>
      </x:c>
      <x:c r="B14" s="83" t="str">
        <x:f>'Tool Rankings'!C5</x:f>
        <x:v>Umami</x:v>
      </x:c>
      <x:c r="C14" s="83" t="str">
        <x:f>'Tool Rankings'!D5</x:f>
        <x:v>Analytics &amp; Experimentation</x:v>
      </x:c>
      <x:c r="D14" s="84" t="n">
        <x:f>'Tool Rankings'!T5</x:f>
        <x:v>93.3</x:v>
      </x:c>
      <x:c r="E14" s="85" t="n">
        <x:f>'Tool Rankings'!I5</x:f>
        <x:v>37768</x:v>
      </x:c>
      <x:c r="F14" s="83" t="str">
        <x:f>'Tool Rankings'!H5</x:f>
        <x:v>Permissive open source</x:v>
      </x:c>
      <x:c r="G14" s="83" t="str">
        <x:f>'Tool Rankings'!E5</x:f>
        <x:v>Google Analytics</x:v>
      </x:c>
      <x:c r="H14" s="83" t="str">
        <x:f>'Tool Rankings'!W5</x:f>
        <x:v>Strong shortlist</x:v>
      </x:c>
      <x:c r="I14" s="76"/>
      <x:c r="J14" s="76" t="str">
        <x:f>'Category Leaders'!A6</x:f>
        <x:v>CRM &amp; Revenue Operations</x:v>
      </x:c>
      <x:c r="K14" s="76" t="n">
        <x:f>'Category Leaders'!B6</x:f>
        <x:v>6</x:v>
      </x:c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15" hidden="0" customHeight="1">
      <x:c r="A15" s="83" t="n">
        <x:f>'Tool Rankings'!A6</x:f>
        <x:v>4</x:v>
      </x:c>
      <x:c r="B15" s="83" t="str">
        <x:f>'Tool Rankings'!C6</x:f>
        <x:v>Excalidraw</x:v>
      </x:c>
      <x:c r="C15" s="83" t="str">
        <x:f>'Tool Rankings'!D6</x:f>
        <x:v>Creative &amp; Content</x:v>
      </x:c>
      <x:c r="D15" s="84" t="n">
        <x:f>'Tool Rankings'!T6</x:f>
        <x:v>92.9</x:v>
      </x:c>
      <x:c r="E15" s="85" t="n">
        <x:f>'Tool Rankings'!I6</x:f>
        <x:v>127938</x:v>
      </x:c>
      <x:c r="F15" s="83" t="str">
        <x:f>'Tool Rankings'!H6</x:f>
        <x:v>Permissive open source</x:v>
      </x:c>
      <x:c r="G15" s="83" t="str">
        <x:f>'Tool Rankings'!E6</x:f>
        <x:v>Miro; FigJam</x:v>
      </x:c>
      <x:c r="H15" s="83" t="str">
        <x:f>'Tool Rankings'!W6</x:f>
        <x:v>Strong shortlist</x:v>
      </x:c>
      <x:c r="I15" s="76"/>
      <x:c r="J15" s="76" t="str">
        <x:f>'Category Leaders'!A7</x:f>
        <x:v>Conversation Intelligence</x:v>
      </x:c>
      <x:c r="K15" s="76" t="n">
        <x:f>'Category Leaders'!B7</x:f>
        <x:v>2</x:v>
      </x:c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15" hidden="0" customHeight="1">
      <x:c r="A16" s="83" t="n">
        <x:f>'Tool Rankings'!A7</x:f>
        <x:v>5</x:v>
      </x:c>
      <x:c r="B16" s="83" t="str">
        <x:f>'Tool Rankings'!C7</x:f>
        <x:v>Strapi</x:v>
      </x:c>
      <x:c r="C16" s="83" t="str">
        <x:f>'Tool Rankings'!D7</x:f>
        <x:v>Website &amp; Content</x:v>
      </x:c>
      <x:c r="D16" s="84" t="n">
        <x:f>'Tool Rankings'!T7</x:f>
        <x:v>92.1</x:v>
      </x:c>
      <x:c r="E16" s="85" t="n">
        <x:f>'Tool Rankings'!I7</x:f>
        <x:v>72689</x:v>
      </x:c>
      <x:c r="F16" s="83" t="str">
        <x:f>'Tool Rankings'!H7</x:f>
        <x:v>Open core (permissive)</x:v>
      </x:c>
      <x:c r="G16" s="83" t="str">
        <x:f>'Tool Rankings'!E7</x:f>
        <x:v>Contentful; Sanity</x:v>
      </x:c>
      <x:c r="H16" s="83" t="str">
        <x:f>'Tool Rankings'!W7</x:f>
        <x:v>Strong shortlist</x:v>
      </x:c>
      <x:c r="I16" s="76"/>
      <x:c r="J16" s="76" t="str">
        <x:f>'Category Leaders'!A8</x:f>
        <x:v>Creative &amp; Content</x:v>
      </x:c>
      <x:c r="K16" s="76" t="n">
        <x:f>'Category Leaders'!B8</x:f>
        <x:v>6</x:v>
      </x:c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15" hidden="0" customHeight="1">
      <x:c r="A17" s="83" t="n">
        <x:f>'Tool Rankings'!A8</x:f>
        <x:v>5</x:v>
      </x:c>
      <x:c r="B17" s="83" t="str">
        <x:f>'Tool Rankings'!C8</x:f>
        <x:v>Twenty</x:v>
      </x:c>
      <x:c r="C17" s="83" t="str">
        <x:f>'Tool Rankings'!D8</x:f>
        <x:v>CRM &amp; Revenue Operations</x:v>
      </x:c>
      <x:c r="D17" s="84" t="n">
        <x:f>'Tool Rankings'!T8</x:f>
        <x:v>92.1</x:v>
      </x:c>
      <x:c r="E17" s="85" t="n">
        <x:f>'Tool Rankings'!I8</x:f>
        <x:v>53330</x:v>
      </x:c>
      <x:c r="F17" s="83" t="str">
        <x:f>'Tool Rankings'!H8</x:f>
        <x:v>Open core (copyleft)</x:v>
      </x:c>
      <x:c r="G17" s="83" t="str">
        <x:f>'Tool Rankings'!E8</x:f>
        <x:v>Salesforce; HubSpot; Attio</x:v>
      </x:c>
      <x:c r="H17" s="83" t="str">
        <x:f>'Tool Rankings'!W8</x:f>
        <x:v>Strong shortlist</x:v>
      </x:c>
      <x:c r="I17" s="76"/>
      <x:c r="J17" s="76" t="str">
        <x:f>'Category Leaders'!A9</x:f>
        <x:v>Customer Data &amp; Activation</x:v>
      </x:c>
      <x:c r="K17" s="76" t="n">
        <x:f>'Category Leaders'!B9</x:f>
        <x:v>3</x:v>
      </x:c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15" hidden="0" customHeight="1">
      <x:c r="A18" s="83" t="n">
        <x:f>'Tool Rankings'!A9</x:f>
        <x:v>7</x:v>
      </x:c>
      <x:c r="B18" s="83" t="str">
        <x:f>'Tool Rankings'!C9</x:f>
        <x:v>Crawl4AI</x:v>
      </x:c>
      <x:c r="C18" s="83" t="str">
        <x:f>'Tool Rankings'!D9</x:f>
        <x:v>Prospecting &amp; Web Data</x:v>
      </x:c>
      <x:c r="D18" s="84" t="n">
        <x:f>'Tool Rankings'!T9</x:f>
        <x:v>91.7</x:v>
      </x:c>
      <x:c r="E18" s="85" t="n">
        <x:f>'Tool Rankings'!I9</x:f>
        <x:v>73401</x:v>
      </x:c>
      <x:c r="F18" s="83" t="str">
        <x:f>'Tool Rankings'!H9</x:f>
        <x:v>Permissive open source</x:v>
      </x:c>
      <x:c r="G18" s="83" t="str">
        <x:f>'Tool Rankings'!E9</x:f>
        <x:v>Firecrawl</x:v>
      </x:c>
      <x:c r="H18" s="83" t="str">
        <x:f>'Tool Rankings'!W9</x:f>
        <x:v>Strong shortlist</x:v>
      </x:c>
      <x:c r="I18" s="76"/>
      <x:c r="J18" s="76" t="str">
        <x:f>'Category Leaders'!A10</x:f>
        <x:v>Customer Support &amp; Success</x:v>
      </x:c>
      <x:c r="K18" s="76" t="n">
        <x:f>'Category Leaders'!B10</x:f>
        <x:v>3</x:v>
      </x:c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15" hidden="0" customHeight="1">
      <x:c r="A19" s="83" t="n">
        <x:f>'Tool Rankings'!A10</x:f>
        <x:v>8</x:v>
      </x:c>
      <x:c r="B19" s="83" t="str">
        <x:f>'Tool Rankings'!C10</x:f>
        <x:v>LangChain</x:v>
      </x:c>
      <x:c r="C19" s="83" t="str">
        <x:f>'Tool Rankings'!D10</x:f>
        <x:v>Agent &amp; GTM Developer Tools</x:v>
      </x:c>
      <x:c r="D19" s="84" t="n">
        <x:f>'Tool Rankings'!T10</x:f>
        <x:v>90.8</x:v>
      </x:c>
      <x:c r="E19" s="85" t="n">
        <x:f>'Tool Rankings'!I10</x:f>
        <x:v>142171</x:v>
      </x:c>
      <x:c r="F19" s="83" t="str">
        <x:f>'Tool Rankings'!H10</x:f>
        <x:v>Permissive open source</x:v>
      </x:c>
      <x:c r="G19" s="83" t="str">
        <x:f>'Tool Rankings'!E10</x:f>
        <x:v>Proprietary agent SDKs</x:v>
      </x:c>
      <x:c r="H19" s="83" t="str">
        <x:f>'Tool Rankings'!W10</x:f>
        <x:v>Strong shortlist</x:v>
      </x:c>
      <x:c r="I19" s="76"/>
      <x:c r="J19" s="76" t="str">
        <x:f>'Category Leaders'!A11</x:f>
        <x:v>Forms, Surveys &amp; Conversion</x:v>
      </x:c>
      <x:c r="K19" s="76" t="n">
        <x:f>'Category Leaders'!B11</x:f>
        <x:v>4</x:v>
      </x:c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15" hidden="0" customHeight="1">
      <x:c r="A20" s="83" t="n">
        <x:f>'Tool Rankings'!A11</x:f>
        <x:v>9</x:v>
      </x:c>
      <x:c r="B20" s="83" t="str">
        <x:f>'Tool Rankings'!C11</x:f>
        <x:v>Payload</x:v>
      </x:c>
      <x:c r="C20" s="83" t="str">
        <x:f>'Tool Rankings'!D11</x:f>
        <x:v>Website &amp; Content</x:v>
      </x:c>
      <x:c r="D20" s="84" t="n">
        <x:f>'Tool Rankings'!T11</x:f>
        <x:v>90.7</x:v>
      </x:c>
      <x:c r="E20" s="85" t="n">
        <x:f>'Tool Rankings'!I11</x:f>
        <x:v>43707</x:v>
      </x:c>
      <x:c r="F20" s="83" t="str">
        <x:f>'Tool Rankings'!H11</x:f>
        <x:v>Permissive open source</x:v>
      </x:c>
      <x:c r="G20" s="83" t="str">
        <x:f>'Tool Rankings'!E11</x:f>
        <x:v>Contentful; Sanity</x:v>
      </x:c>
      <x:c r="H20" s="83" t="str">
        <x:f>'Tool Rankings'!W11</x:f>
        <x:v>Strong shortlist</x:v>
      </x:c>
      <x:c r="I20" s="76"/>
      <x:c r="J20" s="76" t="str">
        <x:f>'Category Leaders'!A12</x:f>
        <x:v>Marketing Automation &amp; Email</x:v>
      </x:c>
      <x:c r="K20" s="76" t="n">
        <x:f>'Category Leaders'!B12</x:f>
        <x:v>5</x:v>
      </x:c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15" hidden="0" customHeight="1">
      <x:c r="A21" s="83" t="n">
        <x:f>'Tool Rankings'!A12</x:f>
        <x:v>10</x:v>
      </x:c>
      <x:c r="B21" s="83" t="str">
        <x:f>'Tool Rankings'!C12</x:f>
        <x:v>listmonk</x:v>
      </x:c>
      <x:c r="C21" s="83" t="str">
        <x:f>'Tool Rankings'!D12</x:f>
        <x:v>Marketing Automation &amp; Email</x:v>
      </x:c>
      <x:c r="D21" s="84" t="n">
        <x:f>'Tool Rankings'!T12</x:f>
        <x:v>90.6</x:v>
      </x:c>
      <x:c r="E21" s="85" t="n">
        <x:f>'Tool Rankings'!I12</x:f>
        <x:v>22294</x:v>
      </x:c>
      <x:c r="F21" s="83" t="str">
        <x:f>'Tool Rankings'!H12</x:f>
        <x:v>Copyleft open source</x:v>
      </x:c>
      <x:c r="G21" s="83" t="str">
        <x:f>'Tool Rankings'!E12</x:f>
        <x:v>Mailchimp; Campaign Monitor</x:v>
      </x:c>
      <x:c r="H21" s="83" t="str">
        <x:f>'Tool Rankings'!W12</x:f>
        <x:v>Strong shortlist</x:v>
      </x:c>
      <x:c r="I21" s="76"/>
      <x:c r="J21" s="76" t="str">
        <x:f>'Category Leaders'!A13</x:f>
        <x:v>Prospecting &amp; Web Data</x:v>
      </x:c>
      <x:c r="K21" s="76" t="n">
        <x:f>'Category Leaders'!B13</x:f>
        <x:v>3</x:v>
      </x:c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15" hidden="0" customHeight="1">
      <x:c r="A22" s="76"/>
      <x:c r="B22" s="76"/>
      <x:c r="C22" s="76"/>
      <x:c r="D22" s="76"/>
      <x:c r="E22" s="76"/>
      <x:c r="F22" s="76"/>
      <x:c r="G22" s="76"/>
      <x:c r="H22" s="76"/>
      <x:c r="I22" s="76"/>
      <x:c r="J22" s="76" t="str">
        <x:f>'Category Leaders'!A14</x:f>
        <x:v>Website &amp; Content</x:v>
      </x:c>
      <x:c r="K22" s="76" t="n">
        <x:f>'Category Leaders'!B14</x:f>
        <x:v>3</x:v>
      </x:c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15" hidden="0" customHeight="1">
      <x:c r="A23" s="76"/>
      <x:c r="B23" s="76"/>
      <x:c r="C23" s="76"/>
      <x:c r="D23" s="76"/>
      <x:c r="E23" s="76"/>
      <x:c r="F23" s="76"/>
      <x:c r="G23" s="76"/>
      <x:c r="H23" s="76"/>
      <x:c r="I23" s="76"/>
      <x:c r="J23" s="76" t="str">
        <x:f>'Category Leaders'!A15</x:f>
        <x:v>Workflow Automation</x:v>
      </x:c>
      <x:c r="K23" s="76" t="n">
        <x:f>'Category Leaders'!B15</x:f>
        <x:v>4</x:v>
      </x:c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15" hidden="0" customHeight="1">
      <x:c r="A24" s="81" t="str">
        <x:v>Recommended product direction</x:v>
      </x:c>
      <x:c r="B24" s="81" t="str">
        <x:v>Recommended product direction</x:v>
      </x:c>
      <x:c r="C24" s="81" t="str">
        <x:v>Recommended product direction</x:v>
      </x:c>
      <x:c r="D24" s="81" t="str">
        <x:v>Recommended product direction</x:v>
      </x:c>
      <x:c r="E24" s="81" t="str">
        <x:v>Recommended product direction</x:v>
      </x:c>
      <x:c r="F24" s="81" t="str">
        <x:v>Recommended product direction</x:v>
      </x:c>
      <x:c r="G24" s="81" t="str">
        <x:v>Recommended product direction</x:v>
      </x:c>
      <x:c r="H24" s="81" t="str">
        <x:v>Recommended product direction</x:v>
      </x:c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15" hidden="0" customHeight="1">
      <x:c r="A25" s="82" t="str">
        <x:v>Decision</x:v>
      </x:c>
      <x:c r="B25" s="82" t="str">
        <x:v>Recommendation</x:v>
      </x:c>
      <x:c r="C25" s="82" t="str">
        <x:v>Reason</x:v>
      </x:c>
      <x:c r="D25" s="82" t="str">
        <x:v>First release</x:v>
      </x:c>
      <x:c r="E25" s="83"/>
      <x:c r="F25" s="83"/>
      <x:c r="G25" s="83"/>
      <x:c r="H25" s="83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48" hidden="0" customHeight="1">
      <x:c r="A26" s="83" t="str">
        <x:v>Positioning</x:v>
      </x:c>
      <x:c r="B26" s="83" t="str">
        <x:v>Public evidence directory for open-source GTM software</x:v>
      </x:c>
      <x:c r="C26" s="83" t="str">
        <x:v>The strongest difference from the reference site is inspectable data and licence clarity.</x:v>
      </x:c>
      <x:c r="D26" s="83" t="str">
        <x:v>Keep every ranking, input and source public.</x:v>
      </x:c>
      <x:c r="E26" s="83"/>
      <x:c r="F26" s="83"/>
      <x:c r="G26" s="83"/>
      <x:c r="H26" s="83"/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84" hidden="0" customHeight="1">
      <x:c r="A27" s="83" t="str">
        <x:v>Primary users</x:v>
      </x:c>
      <x:c r="B27" s="83" t="str">
        <x:v>Revenue operations, marketing operations, founders and technical evaluators</x:v>
      </x:c>
      <x:c r="C27" s="83" t="str">
        <x:v>They need to compare product fit with the work required to self-host it.</x:v>
      </x:c>
      <x:c r="D27" s="83" t="str">
        <x:v>Filters for commercial replacement, category, licence and deployment readiness.</x:v>
      </x:c>
      <x:c r="E27" s="83"/>
      <x:c r="F27" s="83"/>
      <x:c r="G27" s="83"/>
      <x:c r="H27" s="83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72" hidden="0" customHeight="1">
      <x:c r="A28" s="83" t="str">
        <x:v>Ranking basis</x:v>
      </x:c>
      <x:c r="B28" s="83" t="str">
        <x:v>GitHub adoption and activity plus visible editorial review</x:v>
      </x:c>
      <x:c r="C28" s="83" t="str">
        <x:v>It can be implemented from public data without copying the reference site's private panel data.</x:v>
      </x:c>
      <x:c r="D28" s="83" t="str">
        <x:v>Nightly metadata refresh; quarterly editorial review.</x:v>
      </x:c>
      <x:c r="E28" s="83"/>
      <x:c r="F28" s="83"/>
      <x:c r="G28" s="83"/>
      <x:c r="H28" s="83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48" hidden="0" customHeight="1">
      <x:c r="A29" s="83" t="str">
        <x:v>Important warning</x:v>
      </x:c>
      <x:c r="B29" s="83" t="str">
        <x:v>Do not present stars as market share</x:v>
      </x:c>
      <x:c r="C29" s="83" t="str">
        <x:v>Stars measure attention and developer interest, not installations or company revenue.</x:v>
      </x:c>
      <x:c r="D29" s="83" t="str">
        <x:v>Show raw inputs beside the score.</x:v>
      </x:c>
      <x:c r="E29" s="83"/>
      <x:c r="F29" s="83"/>
      <x:c r="G29" s="83"/>
      <x:c r="H29" s="83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60" hidden="0" customHeight="1">
      <x:c r="A30" s="83" t="str">
        <x:v>Submission model</x:v>
      </x:c>
      <x:c r="B30" s="83" t="str">
        <x:v>Public pull request or form with moderation</x:v>
      </x:c>
      <x:c r="C30" s="83" t="str">
        <x:v>Community corrections become auditable and reversible.</x:v>
      </x:c>
      <x:c r="D30" s="83" t="str">
        <x:v>Require repository, licence and feature evidence.</x:v>
      </x:c>
      <x:c r="E30" s="83"/>
      <x:c r="F30" s="83"/>
      <x:c r="G30" s="83"/>
      <x:c r="H30" s="83"/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48" hidden="0" customHeight="1">
      <x:c r="A31" s="83" t="str">
        <x:v>Open licence</x:v>
      </x:c>
      <x:c r="B31" s="83" t="str">
        <x:v>Publish site code and dataset separately</x:v>
      </x:c>
      <x:c r="C31" s="83" t="str">
        <x:v>A permissive code licence and a clearly stated data licence make reuse simple.</x:v>
      </x:c>
      <x:c r="D31" s="83" t="str">
        <x:v>Suggested: Apache-2.0 code and CC BY 4.0 data.</x:v>
      </x:c>
      <x:c r="E31" s="83"/>
      <x:c r="F31" s="83"/>
      <x:c r="G31" s="83"/>
      <x:c r="H31" s="83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15" hidden="0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15" hidden="0" customHeight="1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15" hidden="0" customHeight="1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15" hidden="0" customHeight="1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15" hidden="0" customHeight="1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15" hidden="0" customHeight="1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15" hidden="0" customHeight="1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15" hidden="0" customHeight="1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15" hidden="0" customHeight="1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15" hidden="0" customHeight="1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15" hidden="0" customHeight="1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Q1"/>
    <x:mergeCell ref="A2:Q3"/>
    <x:mergeCell ref="A5:C7"/>
    <x:mergeCell ref="A8:C8"/>
    <x:mergeCell ref="D5:F7"/>
    <x:mergeCell ref="D8:F8"/>
    <x:mergeCell ref="G5:I7"/>
    <x:mergeCell ref="G8:I8"/>
    <x:mergeCell ref="J5:L7"/>
    <x:mergeCell ref="J8:L8"/>
    <x:mergeCell ref="A10:H10"/>
    <x:mergeCell ref="A24:H24"/>
  </x:mergeCells>
  <x:conditionalFormatting sqref="D12:D21">
    <x:cfRule type="dataBar" priority="1">
      <x:dataBar>
        <x:cfvo type="min"/>
        <x:cfvo type="max"/>
        <x:color rgb="FFD7811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69b3ca78ced418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D78118"/>
            </x14:dataBar>
          </x14:cfRule>
          <xm:sqref>D12:D21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9" hidden="0" customWidth="1"/>
    <x:col min="4" max="4" width="25" hidden="0" customWidth="1"/>
    <x:col min="5" max="5" width="30" hidden="0" customWidth="1"/>
    <x:col min="6" max="6" width="38" hidden="0" customWidth="1"/>
    <x:col min="7" max="7" width="28" hidden="0" customWidth="1"/>
    <x:col min="8" max="8" width="23" hidden="0" customWidth="1"/>
    <x:col min="9" max="9" width="11" hidden="0" customWidth="1"/>
    <x:col min="10" max="10" width="10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12" hidden="0" customWidth="1"/>
    <x:col min="17" max="17" width="14" hidden="0" customWidth="1"/>
    <x:col min="18" max="18" width="12" hidden="0" customWidth="1"/>
    <x:col min="19" max="19" width="11" hidden="0" customWidth="1"/>
    <x:col min="20" max="20" width="16" hidden="0" customWidth="1"/>
    <x:col min="21" max="21" width="10" hidden="0" customWidth="1"/>
    <x:col min="22" max="22" width="13" hidden="0" customWidth="1"/>
    <x:col min="23" max="23" width="16" hidden="0" customWidth="1"/>
    <x:col min="24" max="24" width="36" hidden="0" customWidth="1"/>
    <x:col min="25" max="25" width="30" hidden="0" customWidth="1"/>
    <x:col min="26" max="26" width="12" hidden="0" customWidth="1"/>
  </x:cols>
  <x:sheetData>
    <x:row r="1" ht="36" hidden="0" customHeight="1">
      <x:c r="A1" s="73" t="str">
        <x:v>Open-source go-to-market tools — research dataset and ranking</x:v>
      </x:c>
      <x:c r="B1" s="73" t="str">
        <x:v>Open-source go-to-market tools — research dataset and ranking</x:v>
      </x:c>
      <x:c r="C1" s="73" t="str">
        <x:v>Open-source go-to-market tools — research dataset and ranking</x:v>
      </x:c>
      <x:c r="D1" s="73" t="str">
        <x:v>Open-source go-to-market tools — research dataset and ranking</x:v>
      </x:c>
      <x:c r="E1" s="73" t="str">
        <x:v>Open-source go-to-market tools — research dataset and ranking</x:v>
      </x:c>
      <x:c r="F1" s="73" t="str">
        <x:v>Open-source go-to-market tools — research dataset and ranking</x:v>
      </x:c>
      <x:c r="G1" s="73" t="str">
        <x:v>Open-source go-to-market tools — research dataset and ranking</x:v>
      </x:c>
      <x:c r="H1" s="73" t="str">
        <x:v>Open-source go-to-market tools — research dataset and ranking</x:v>
      </x:c>
      <x:c r="I1" s="73" t="str">
        <x:v>Open-source go-to-market tools — research dataset and ranking</x:v>
      </x:c>
      <x:c r="J1" s="73" t="str">
        <x:v>Open-source go-to-market tools — research dataset and ranking</x:v>
      </x:c>
      <x:c r="K1" s="73" t="str">
        <x:v>Open-source go-to-market tools — research dataset and ranking</x:v>
      </x:c>
      <x:c r="L1" s="73" t="str">
        <x:v>Open-source go-to-market tools — research dataset and ranking</x:v>
      </x:c>
      <x:c r="M1" s="73" t="str">
        <x:v>Open-source go-to-market tools — research dataset and ranking</x:v>
      </x:c>
      <x:c r="N1" s="73" t="str">
        <x:v>Open-source go-to-market tools — research dataset and ranking</x:v>
      </x:c>
      <x:c r="O1" s="73" t="str">
        <x:v>Open-source go-to-market tools — research dataset and ranking</x:v>
      </x:c>
      <x:c r="P1" s="73" t="str">
        <x:v>Open-source go-to-market tools — research dataset and ranking</x:v>
      </x:c>
      <x:c r="Q1" s="73" t="str">
        <x:v>Open-source go-to-market tools — research dataset and ranking</x:v>
      </x:c>
      <x:c r="R1" s="73" t="str">
        <x:v>Open-source go-to-market tools — research dataset and ranking</x:v>
      </x:c>
      <x:c r="S1" s="73" t="str">
        <x:v>Open-source go-to-market tools — research dataset and ranking</x:v>
      </x:c>
      <x:c r="T1" s="73" t="str">
        <x:v>Open-source go-to-market tools — research dataset and ranking</x:v>
      </x:c>
      <x:c r="U1" s="73" t="str">
        <x:v>Open-source go-to-market tools — research dataset and ranking</x:v>
      </x:c>
      <x:c r="V1" s="73" t="str">
        <x:v>Open-source go-to-market tools — research dataset and ranking</x:v>
      </x:c>
      <x:c r="W1" s="73" t="str">
        <x:v>Open-source go-to-market tools — research dataset and ranking</x:v>
      </x:c>
      <x:c r="X1" s="73" t="str">
        <x:v>Open-source go-to-market tools — research dataset and ranking</x:v>
      </x:c>
      <x:c r="Y1" s="73" t="str">
        <x:v>Open-source go-to-market tools — research dataset and ranking</x:v>
      </x:c>
      <x:c r="Z1" s="73" t="str">
        <x:v>Open-source go-to-market tools — research dataset and ranking</x:v>
      </x:c>
    </x:row>
    <x:row r="2" ht="24" hidden="0" customHeight="1">
      <x:c r="A2" s="82" t="str">
        <x:v>Overall rank</x:v>
      </x:c>
      <x:c r="B2" s="82" t="str">
        <x:v>Category rank</x:v>
      </x:c>
      <x:c r="C2" s="82" t="str">
        <x:v>Tool</x:v>
      </x:c>
      <x:c r="D2" s="82" t="str">
        <x:v>Category</x:v>
      </x:c>
      <x:c r="E2" s="82" t="str">
        <x:v>Commercial tools replaced</x:v>
      </x:c>
      <x:c r="F2" s="82" t="str">
        <x:v>What it does</x:v>
      </x:c>
      <x:c r="G2" s="82" t="str">
        <x:v>Licence</x:v>
      </x:c>
      <x:c r="H2" s="82" t="str">
        <x:v>Licence model</x:v>
      </x:c>
      <x:c r="I2" s="82" t="str">
        <x:v>Stars</x:v>
      </x:c>
      <x:c r="J2" s="82" t="str">
        <x:v>Forks</x:v>
      </x:c>
      <x:c r="K2" s="82" t="str">
        <x:v>Open issues</x:v>
      </x:c>
      <x:c r="L2" s="82" t="str">
        <x:v>Last push</x:v>
      </x:c>
      <x:c r="M2" s="82" t="str">
        <x:v>Days since push</x:v>
      </x:c>
      <x:c r="N2" s="82" t="str">
        <x:v>Adoption /25</x:v>
      </x:c>
      <x:c r="O2" s="82" t="str">
        <x:v>Community /15</x:v>
      </x:c>
      <x:c r="P2" s="82" t="str">
        <x:v>Activity /20</x:v>
      </x:c>
      <x:c r="Q2" s="82" t="str">
        <x:v>Deployment /15</x:v>
      </x:c>
      <x:c r="R2" s="82" t="str">
        <x:v>GTM fit /15</x:v>
      </x:c>
      <x:c r="S2" s="82" t="str">
        <x:v>Licence /10</x:v>
      </x:c>
      <x:c r="T2" s="82" t="str">
        <x:v>Open GTM Score /100</x:v>
      </x:c>
      <x:c r="U2" s="82" t="str">
        <x:v>Eligible</x:v>
      </x:c>
      <x:c r="V2" s="82" t="str">
        <x:v>Maturity</x:v>
      </x:c>
      <x:c r="W2" s="82" t="str">
        <x:v>Recommendation</x:v>
      </x:c>
      <x:c r="X2" s="82" t="str">
        <x:v>GitHub</x:v>
      </x:c>
      <x:c r="Y2" s="82" t="str">
        <x:v>Website</x:v>
      </x:c>
      <x:c r="Z2" s="82" t="str">
        <x:v>Checked</x:v>
      </x:c>
    </x:row>
    <x:row r="3" ht="15" hidden="0" customHeight="1">
      <x:c r="A3" s="76" t="n">
        <x:f>IF(U3="Yes",COUNTIFS($U$3:$U$55,"Yes",$T$3:$T$55,"&gt;"&amp;T3)+1,"")</x:f>
        <x:v>1</x:v>
      </x:c>
      <x:c r="B3" s="76" t="n">
        <x:f>IF(U3="Yes",COUNTIFS($D$3:$D$55,D3,$T$3:$T$55,"&gt;"&amp;T3)+1,"")</x:f>
        <x:v>1</x:v>
      </x:c>
      <x:c r="C3" s="83" t="str">
        <x:v>Cal.com</x:v>
      </x:c>
      <x:c r="D3" s="83" t="str">
        <x:v>Forms, Surveys &amp; Conversion</x:v>
      </x:c>
      <x:c r="E3" s="83" t="str">
        <x:v>Calendly; Chili Piper</x:v>
      </x:c>
      <x:c r="F3" s="83" t="str">
        <x:v>Scheduling platform with routing and integrations.</x:v>
      </x:c>
      <x:c r="G3" s="83" t="str">
        <x:v>MIT</x:v>
      </x:c>
      <x:c r="H3" s="83" t="str">
        <x:v>Permissive open source</x:v>
      </x:c>
      <x:c r="I3" s="91" t="n">
        <x:v>46636</x:v>
      </x:c>
      <x:c r="J3" s="91" t="n">
        <x:v>14496</x:v>
      </x:c>
      <x:c r="K3" s="91" t="n">
        <x:v>1355</x:v>
      </x:c>
      <x:c r="L3" s="92" t="n">
        <x:v>46212.39068287037</x:v>
      </x:c>
      <x:c r="M3" s="76" t="n">
        <x:f>MAX(0,INT('Scoring Method'!$G$20)-INT(L3))</x:f>
        <x:v>11</x:v>
      </x:c>
      <x:c r="N3" s="93" t="n">
        <x:f>ROUND(MIN(25,25*LN(I3+1)/LN(MAX($I$3:$I$55)+1)),1)</x:f>
        <x:v>22.6</x:v>
      </x:c>
      <x:c r="O3" s="93" t="n">
        <x:f>ROUND(MIN(15,15*LN(J3+1)/LN(MAX($J$3:$J$55)+1)),1)</x:f>
        <x:v>14.2</x:v>
      </x:c>
      <x:c r="P3" s="93" t="n">
        <x:f>IF(M3&lt;=7,20,IF(M3&lt;=30,18,IF(M3&lt;=90,14,IF(M3&lt;=180,10,IF(M3&lt;=365,5,0)))))</x:f>
        <x:v>18</x:v>
      </x:c>
      <x:c r="Q3" s="93" t="n">
        <x:v>14</x:v>
      </x:c>
      <x:c r="R3" s="93" t="n">
        <x:v>15</x:v>
      </x:c>
      <x:c r="S3" s="93" t="n">
        <x:f>IFERROR(VLOOKUP(H3,'Scoring Method'!$A$15:$B$20,2,FALSE),0)</x:f>
        <x:v>10</x:v>
      </x:c>
      <x:c r="T3" s="93" t="n">
        <x:f>ROUND(SUM(N3:S3),1)</x:f>
        <x:v>93.8</x:v>
      </x:c>
      <x:c r="U3" s="76" t="str">
        <x:f>IF(OR(H3="Source available",H3="Unlicensed / unclear"),"No","Yes")</x:f>
        <x:v>Yes</x:v>
      </x:c>
      <x:c r="V3" s="76" t="str">
        <x:f>IF(I3&gt;=20000,"Established",IF(I3&gt;=5000,"Mature",IF(I3&gt;=1000,"Growing","Early")))</x:f>
        <x:v>Established</x:v>
      </x:c>
      <x:c r="W3" s="83" t="str">
        <x:f>IF(U3&lt;&gt;"Yes","Watchlist",IF(T3&gt;=80,"Strong shortlist",IF(T3&gt;=68,"Pilot",IF(T3&gt;=55,"Evaluate","Monitor"))))</x:f>
        <x:v>Strong shortlist</x:v>
      </x:c>
      <x:c r="X3" s="83" t="str">
        <x:v>https://github.com/calcom/cal.diy</x:v>
      </x:c>
      <x:c r="Y3" s="83" t="str">
        <x:v>https://cal.diy</x:v>
      </x:c>
      <x:c r="Z3" s="94" t="n">
        <x:v>46223</x:v>
      </x:c>
    </x:row>
    <x:row r="4" ht="15" hidden="0" customHeight="1">
      <x:c r="A4" s="76" t="n">
        <x:f>IF(U4="Yes",COUNTIFS($U$3:$U$55,"Yes",$T$3:$T$55,"&gt;"&amp;T4)+1,"")</x:f>
        <x:v>2</x:v>
      </x:c>
      <x:c r="B4" s="76" t="n">
        <x:f>IF(U4="Yes",COUNTIFS($D$3:$D$55,D4,$T$3:$T$55,"&gt;"&amp;T4)+1,"")</x:f>
        <x:v>1</x:v>
      </x:c>
      <x:c r="C4" s="83" t="str">
        <x:v>Chatwoot</x:v>
      </x:c>
      <x:c r="D4" s="83" t="str">
        <x:v>Customer Support &amp; Success</x:v>
      </x:c>
      <x:c r="E4" s="83" t="str">
        <x:v>Intercom; Zendesk</x:v>
      </x:c>
      <x:c r="F4" s="83" t="str">
        <x:v>Omnichannel support inbox, chat and help centre.</x:v>
      </x:c>
      <x:c r="G4" s="83" t="str">
        <x:v>MIT core + enterprise files</x:v>
      </x:c>
      <x:c r="H4" s="83" t="str">
        <x:v>Open core (permissive)</x:v>
      </x:c>
      <x:c r="I4" s="91" t="n">
        <x:v>34579</x:v>
      </x:c>
      <x:c r="J4" s="91" t="n">
        <x:v>8245</x:v>
      </x:c>
      <x:c r="K4" s="91" t="n">
        <x:v>1249</x:v>
      </x:c>
      <x:c r="L4" s="92" t="n">
        <x:v>46223.67460648148</x:v>
      </x:c>
      <x:c r="M4" s="76" t="n">
        <x:f>MAX(0,INT('Scoring Method'!$G$20)-INT(L4))</x:f>
        <x:v>0</x:v>
      </x:c>
      <x:c r="N4" s="93" t="n">
        <x:f>ROUND(MIN(25,25*LN(I4+1)/LN(MAX($I$3:$I$55)+1)),1)</x:f>
        <x:v>21.9</x:v>
      </x:c>
      <x:c r="O4" s="93" t="n">
        <x:f>ROUND(MIN(15,15*LN(J4+1)/LN(MAX($J$3:$J$55)+1)),1)</x:f>
        <x:v>13.4</x:v>
      </x:c>
      <x:c r="P4" s="93" t="n">
        <x:f>IF(M4&lt;=7,20,IF(M4&lt;=30,18,IF(M4&lt;=90,14,IF(M4&lt;=180,10,IF(M4&lt;=365,5,0)))))</x:f>
        <x:v>20</x:v>
      </x:c>
      <x:c r="Q4" s="93" t="n">
        <x:v>15</x:v>
      </x:c>
      <x:c r="R4" s="93" t="n">
        <x:v>15</x:v>
      </x:c>
      <x:c r="S4" s="93" t="n">
        <x:f>IFERROR(VLOOKUP(H4,'Scoring Method'!$A$15:$B$20,2,FALSE),0)</x:f>
        <x:v>8</x:v>
      </x:c>
      <x:c r="T4" s="93" t="n">
        <x:f>ROUND(SUM(N4:S4),1)</x:f>
        <x:v>93.3</x:v>
      </x:c>
      <x:c r="U4" s="76" t="str">
        <x:f>IF(OR(H4="Source available",H4="Unlicensed / unclear"),"No","Yes")</x:f>
        <x:v>Yes</x:v>
      </x:c>
      <x:c r="V4" s="76" t="str">
        <x:f>IF(I4&gt;=20000,"Established",IF(I4&gt;=5000,"Mature",IF(I4&gt;=1000,"Growing","Early")))</x:f>
        <x:v>Established</x:v>
      </x:c>
      <x:c r="W4" s="83" t="str">
        <x:f>IF(U4&lt;&gt;"Yes","Watchlist",IF(T4&gt;=80,"Strong shortlist",IF(T4&gt;=68,"Pilot",IF(T4&gt;=55,"Evaluate","Monitor"))))</x:f>
        <x:v>Strong shortlist</x:v>
      </x:c>
      <x:c r="X4" s="83" t="str">
        <x:v>https://github.com/chatwoot/chatwoot</x:v>
      </x:c>
      <x:c r="Y4" s="83" t="str">
        <x:v>https://www.chatwoot.com/help-center</x:v>
      </x:c>
      <x:c r="Z4" s="94" t="n">
        <x:v>46223</x:v>
      </x:c>
    </x:row>
    <x:row r="5" ht="15" hidden="0" customHeight="1">
      <x:c r="A5" s="76" t="n">
        <x:f>IF(U5="Yes",COUNTIFS($U$3:$U$55,"Yes",$T$3:$T$55,"&gt;"&amp;T5)+1,"")</x:f>
        <x:v>2</x:v>
      </x:c>
      <x:c r="B5" s="76" t="n">
        <x:f>IF(U5="Yes",COUNTIFS($D$3:$D$55,D5,$T$3:$T$55,"&gt;"&amp;T5)+1,"")</x:f>
        <x:v>1</x:v>
      </x:c>
      <x:c r="C5" s="83" t="str">
        <x:v>Umami</x:v>
      </x:c>
      <x:c r="D5" s="83" t="str">
        <x:v>Analytics &amp; Experimentation</x:v>
      </x:c>
      <x:c r="E5" s="83" t="str">
        <x:v>Google Analytics</x:v>
      </x:c>
      <x:c r="F5" s="83" t="str">
        <x:v>Simple privacy-focused web analytics.</x:v>
      </x:c>
      <x:c r="G5" s="83" t="str">
        <x:v>MIT</x:v>
      </x:c>
      <x:c r="H5" s="83" t="str">
        <x:v>Permissive open source</x:v>
      </x:c>
      <x:c r="I5" s="91" t="n">
        <x:v>37768</x:v>
      </x:c>
      <x:c r="J5" s="91" t="n">
        <x:v>7581</x:v>
      </x:c>
      <x:c r="K5" s="91" t="n">
        <x:v>116</x:v>
      </x:c>
      <x:c r="L5" s="92" t="n">
        <x:v>46223.21171296296</x:v>
      </x:c>
      <x:c r="M5" s="76" t="n">
        <x:f>MAX(0,INT('Scoring Method'!$G$20)-INT(L5))</x:f>
        <x:v>0</x:v>
      </x:c>
      <x:c r="N5" s="93" t="n">
        <x:f>ROUND(MIN(25,25*LN(I5+1)/LN(MAX($I$3:$I$55)+1)),1)</x:f>
        <x:v>22.1</x:v>
      </x:c>
      <x:c r="O5" s="93" t="n">
        <x:f>ROUND(MIN(15,15*LN(J5+1)/LN(MAX($J$3:$J$55)+1)),1)</x:f>
        <x:v>13.2</x:v>
      </x:c>
      <x:c r="P5" s="93" t="n">
        <x:f>IF(M5&lt;=7,20,IF(M5&lt;=30,18,IF(M5&lt;=90,14,IF(M5&lt;=180,10,IF(M5&lt;=365,5,0)))))</x:f>
        <x:v>20</x:v>
      </x:c>
      <x:c r="Q5" s="93" t="n">
        <x:v>15</x:v>
      </x:c>
      <x:c r="R5" s="93" t="n">
        <x:v>13</x:v>
      </x:c>
      <x:c r="S5" s="93" t="n">
        <x:f>IFERROR(VLOOKUP(H5,'Scoring Method'!$A$15:$B$20,2,FALSE),0)</x:f>
        <x:v>10</x:v>
      </x:c>
      <x:c r="T5" s="93" t="n">
        <x:f>ROUND(SUM(N5:S5),1)</x:f>
        <x:v>93.3</x:v>
      </x:c>
      <x:c r="U5" s="76" t="str">
        <x:f>IF(OR(H5="Source available",H5="Unlicensed / unclear"),"No","Yes")</x:f>
        <x:v>Yes</x:v>
      </x:c>
      <x:c r="V5" s="76" t="str">
        <x:f>IF(I5&gt;=20000,"Established",IF(I5&gt;=5000,"Mature",IF(I5&gt;=1000,"Growing","Early")))</x:f>
        <x:v>Established</x:v>
      </x:c>
      <x:c r="W5" s="83" t="str">
        <x:f>IF(U5&lt;&gt;"Yes","Watchlist",IF(T5&gt;=80,"Strong shortlist",IF(T5&gt;=68,"Pilot",IF(T5&gt;=55,"Evaluate","Monitor"))))</x:f>
        <x:v>Strong shortlist</x:v>
      </x:c>
      <x:c r="X5" s="83" t="str">
        <x:v>https://github.com/umami-software/umami</x:v>
      </x:c>
      <x:c r="Y5" s="83" t="str">
        <x:v>https://umami.is</x:v>
      </x:c>
      <x:c r="Z5" s="94" t="n">
        <x:v>46223</x:v>
      </x:c>
    </x:row>
    <x:row r="6" ht="15" hidden="0" customHeight="1">
      <x:c r="A6" s="76" t="n">
        <x:f>IF(U6="Yes",COUNTIFS($U$3:$U$55,"Yes",$T$3:$T$55,"&gt;"&amp;T6)+1,"")</x:f>
        <x:v>4</x:v>
      </x:c>
      <x:c r="B6" s="76" t="n">
        <x:f>IF(U6="Yes",COUNTIFS($D$3:$D$55,D6,$T$3:$T$55,"&gt;"&amp;T6)+1,"")</x:f>
        <x:v>1</x:v>
      </x:c>
      <x:c r="C6" s="83" t="str">
        <x:v>Excalidraw</x:v>
      </x:c>
      <x:c r="D6" s="83" t="str">
        <x:v>Creative &amp; Content</x:v>
      </x:c>
      <x:c r="E6" s="83" t="str">
        <x:v>Miro; FigJam</x:v>
      </x:c>
      <x:c r="F6" s="83" t="str">
        <x:v>Collaborative diagrams and visual thinking.</x:v>
      </x:c>
      <x:c r="G6" s="83" t="str">
        <x:v>MIT</x:v>
      </x:c>
      <x:c r="H6" s="83" t="str">
        <x:v>Permissive open source</x:v>
      </x:c>
      <x:c r="I6" s="91" t="n">
        <x:v>127938</x:v>
      </x:c>
      <x:c r="J6" s="91" t="n">
        <x:v>14484</x:v>
      </x:c>
      <x:c r="K6" s="91" t="n">
        <x:v>3242</x:v>
      </x:c>
      <x:c r="L6" s="92" t="n">
        <x:v>46223.41853009259</x:v>
      </x:c>
      <x:c r="M6" s="76" t="n">
        <x:f>MAX(0,INT('Scoring Method'!$G$20)-INT(L6))</x:f>
        <x:v>0</x:v>
      </x:c>
      <x:c r="N6" s="93" t="n">
        <x:f>ROUND(MIN(25,25*LN(I6+1)/LN(MAX($I$3:$I$55)+1)),1)</x:f>
        <x:v>24.7</x:v>
      </x:c>
      <x:c r="O6" s="93" t="n">
        <x:f>ROUND(MIN(15,15*LN(J6+1)/LN(MAX($J$3:$J$55)+1)),1)</x:f>
        <x:v>14.2</x:v>
      </x:c>
      <x:c r="P6" s="93" t="n">
        <x:f>IF(M6&lt;=7,20,IF(M6&lt;=30,18,IF(M6&lt;=90,14,IF(M6&lt;=180,10,IF(M6&lt;=365,5,0)))))</x:f>
        <x:v>20</x:v>
      </x:c>
      <x:c r="Q6" s="93" t="n">
        <x:v>15</x:v>
      </x:c>
      <x:c r="R6" s="93" t="n">
        <x:v>9</x:v>
      </x:c>
      <x:c r="S6" s="93" t="n">
        <x:f>IFERROR(VLOOKUP(H6,'Scoring Method'!$A$15:$B$20,2,FALSE),0)</x:f>
        <x:v>10</x:v>
      </x:c>
      <x:c r="T6" s="93" t="n">
        <x:f>ROUND(SUM(N6:S6),1)</x:f>
        <x:v>92.9</x:v>
      </x:c>
      <x:c r="U6" s="76" t="str">
        <x:f>IF(OR(H6="Source available",H6="Unlicensed / unclear"),"No","Yes")</x:f>
        <x:v>Yes</x:v>
      </x:c>
      <x:c r="V6" s="76" t="str">
        <x:f>IF(I6&gt;=20000,"Established",IF(I6&gt;=5000,"Mature",IF(I6&gt;=1000,"Growing","Early")))</x:f>
        <x:v>Established</x:v>
      </x:c>
      <x:c r="W6" s="83" t="str">
        <x:f>IF(U6&lt;&gt;"Yes","Watchlist",IF(T6&gt;=80,"Strong shortlist",IF(T6&gt;=68,"Pilot",IF(T6&gt;=55,"Evaluate","Monitor"))))</x:f>
        <x:v>Strong shortlist</x:v>
      </x:c>
      <x:c r="X6" s="83" t="str">
        <x:v>https://github.com/excalidraw/excalidraw</x:v>
      </x:c>
      <x:c r="Y6" s="83" t="str">
        <x:v>https://excalidraw.com</x:v>
      </x:c>
      <x:c r="Z6" s="94" t="n">
        <x:v>46223</x:v>
      </x:c>
    </x:row>
    <x:row r="7" ht="15" hidden="0" customHeight="1">
      <x:c r="A7" s="76" t="n">
        <x:f>IF(U7="Yes",COUNTIFS($U$3:$U$55,"Yes",$T$3:$T$55,"&gt;"&amp;T7)+1,"")</x:f>
        <x:v>5</x:v>
      </x:c>
      <x:c r="B7" s="76" t="n">
        <x:f>IF(U7="Yes",COUNTIFS($D$3:$D$55,D7,$T$3:$T$55,"&gt;"&amp;T7)+1,"")</x:f>
        <x:v>1</x:v>
      </x:c>
      <x:c r="C7" s="83" t="str">
        <x:v>Strapi</x:v>
      </x:c>
      <x:c r="D7" s="83" t="str">
        <x:v>Website &amp; Content</x:v>
      </x:c>
      <x:c r="E7" s="83" t="str">
        <x:v>Contentful; Sanity</x:v>
      </x:c>
      <x:c r="F7" s="83" t="str">
        <x:v>Headless content management system.</x:v>
      </x:c>
      <x:c r="G7" s="83" t="str">
        <x:v>MIT community edition + enterprise files</x:v>
      </x:c>
      <x:c r="H7" s="83" t="str">
        <x:v>Open core (permissive)</x:v>
      </x:c>
      <x:c r="I7" s="91" t="n">
        <x:v>72689</x:v>
      </x:c>
      <x:c r="J7" s="91" t="n">
        <x:v>9803</x:v>
      </x:c>
      <x:c r="K7" s="91" t="n">
        <x:v>494</x:v>
      </x:c>
      <x:c r="L7" s="92" t="n">
        <x:v>46223.69689814815</x:v>
      </x:c>
      <x:c r="M7" s="76" t="n">
        <x:f>MAX(0,INT('Scoring Method'!$G$20)-INT(L7))</x:f>
        <x:v>0</x:v>
      </x:c>
      <x:c r="N7" s="93" t="n">
        <x:f>ROUND(MIN(25,25*LN(I7+1)/LN(MAX($I$3:$I$55)+1)),1)</x:f>
        <x:v>23.5</x:v>
      </x:c>
      <x:c r="O7" s="93" t="n">
        <x:f>ROUND(MIN(15,15*LN(J7+1)/LN(MAX($J$3:$J$55)+1)),1)</x:f>
        <x:v>13.6</x:v>
      </x:c>
      <x:c r="P7" s="93" t="n">
        <x:f>IF(M7&lt;=7,20,IF(M7&lt;=30,18,IF(M7&lt;=90,14,IF(M7&lt;=180,10,IF(M7&lt;=365,5,0)))))</x:f>
        <x:v>20</x:v>
      </x:c>
      <x:c r="Q7" s="93" t="n">
        <x:v>15</x:v>
      </x:c>
      <x:c r="R7" s="93" t="n">
        <x:v>12</x:v>
      </x:c>
      <x:c r="S7" s="93" t="n">
        <x:f>IFERROR(VLOOKUP(H7,'Scoring Method'!$A$15:$B$20,2,FALSE),0)</x:f>
        <x:v>8</x:v>
      </x:c>
      <x:c r="T7" s="93" t="n">
        <x:f>ROUND(SUM(N7:S7),1)</x:f>
        <x:v>92.1</x:v>
      </x:c>
      <x:c r="U7" s="76" t="str">
        <x:f>IF(OR(H7="Source available",H7="Unlicensed / unclear"),"No","Yes")</x:f>
        <x:v>Yes</x:v>
      </x:c>
      <x:c r="V7" s="76" t="str">
        <x:f>IF(I7&gt;=20000,"Established",IF(I7&gt;=5000,"Mature",IF(I7&gt;=1000,"Growing","Early")))</x:f>
        <x:v>Established</x:v>
      </x:c>
      <x:c r="W7" s="83" t="str">
        <x:f>IF(U7&lt;&gt;"Yes","Watchlist",IF(T7&gt;=80,"Strong shortlist",IF(T7&gt;=68,"Pilot",IF(T7&gt;=55,"Evaluate","Monitor"))))</x:f>
        <x:v>Strong shortlist</x:v>
      </x:c>
      <x:c r="X7" s="83" t="str">
        <x:v>https://github.com/strapi/strapi</x:v>
      </x:c>
      <x:c r="Y7" s="83" t="str">
        <x:v>https://strapi.io</x:v>
      </x:c>
      <x:c r="Z7" s="94" t="n">
        <x:v>46223</x:v>
      </x:c>
    </x:row>
    <x:row r="8" ht="15" hidden="0" customHeight="1">
      <x:c r="A8" s="76" t="n">
        <x:f>IF(U8="Yes",COUNTIFS($U$3:$U$55,"Yes",$T$3:$T$55,"&gt;"&amp;T8)+1,"")</x:f>
        <x:v>5</x:v>
      </x:c>
      <x:c r="B8" s="76" t="n">
        <x:f>IF(U8="Yes",COUNTIFS($D$3:$D$55,D8,$T$3:$T$55,"&gt;"&amp;T8)+1,"")</x:f>
        <x:v>1</x:v>
      </x:c>
      <x:c r="C8" s="83" t="str">
        <x:v>Twenty</x:v>
      </x:c>
      <x:c r="D8" s="83" t="str">
        <x:v>CRM &amp; Revenue Operations</x:v>
      </x:c>
      <x:c r="E8" s="83" t="str">
        <x:v>Salesforce; HubSpot; Attio</x:v>
      </x:c>
      <x:c r="F8" s="83" t="str">
        <x:v>Modern extensible CRM with self-hosting.</x:v>
      </x:c>
      <x:c r="G8" s="83" t="str">
        <x:v>AGPL-3.0 core + enterprise files</x:v>
      </x:c>
      <x:c r="H8" s="83" t="str">
        <x:v>Open core (copyleft)</x:v>
      </x:c>
      <x:c r="I8" s="91" t="n">
        <x:v>53330</x:v>
      </x:c>
      <x:c r="J8" s="91" t="n">
        <x:v>8099</x:v>
      </x:c>
      <x:c r="K8" s="91" t="n">
        <x:v>104</x:v>
      </x:c>
      <x:c r="L8" s="92" t="n">
        <x:v>46223.704097222224</x:v>
      </x:c>
      <x:c r="M8" s="76" t="n">
        <x:f>MAX(0,INT('Scoring Method'!$G$20)-INT(L8))</x:f>
        <x:v>0</x:v>
      </x:c>
      <x:c r="N8" s="93" t="n">
        <x:f>ROUND(MIN(25,25*LN(I8+1)/LN(MAX($I$3:$I$55)+1)),1)</x:f>
        <x:v>22.8</x:v>
      </x:c>
      <x:c r="O8" s="93" t="n">
        <x:f>ROUND(MIN(15,15*LN(J8+1)/LN(MAX($J$3:$J$55)+1)),1)</x:f>
        <x:v>13.3</x:v>
      </x:c>
      <x:c r="P8" s="93" t="n">
        <x:f>IF(M8&lt;=7,20,IF(M8&lt;=30,18,IF(M8&lt;=90,14,IF(M8&lt;=180,10,IF(M8&lt;=365,5,0)))))</x:f>
        <x:v>20</x:v>
      </x:c>
      <x:c r="Q8" s="93" t="n">
        <x:v>14</x:v>
      </x:c>
      <x:c r="R8" s="93" t="n">
        <x:v>15</x:v>
      </x:c>
      <x:c r="S8" s="93" t="n">
        <x:f>IFERROR(VLOOKUP(H8,'Scoring Method'!$A$15:$B$20,2,FALSE),0)</x:f>
        <x:v>7</x:v>
      </x:c>
      <x:c r="T8" s="93" t="n">
        <x:f>ROUND(SUM(N8:S8),1)</x:f>
        <x:v>92.1</x:v>
      </x:c>
      <x:c r="U8" s="76" t="str">
        <x:f>IF(OR(H8="Source available",H8="Unlicensed / unclear"),"No","Yes")</x:f>
        <x:v>Yes</x:v>
      </x:c>
      <x:c r="V8" s="76" t="str">
        <x:f>IF(I8&gt;=20000,"Established",IF(I8&gt;=5000,"Mature",IF(I8&gt;=1000,"Growing","Early")))</x:f>
        <x:v>Established</x:v>
      </x:c>
      <x:c r="W8" s="83" t="str">
        <x:f>IF(U8&lt;&gt;"Yes","Watchlist",IF(T8&gt;=80,"Strong shortlist",IF(T8&gt;=68,"Pilot",IF(T8&gt;=55,"Evaluate","Monitor"))))</x:f>
        <x:v>Strong shortlist</x:v>
      </x:c>
      <x:c r="X8" s="83" t="str">
        <x:v>https://github.com/twentyhq/twenty</x:v>
      </x:c>
      <x:c r="Y8" s="83" t="str">
        <x:v>https://twenty.com</x:v>
      </x:c>
      <x:c r="Z8" s="94" t="n">
        <x:v>46223</x:v>
      </x:c>
    </x:row>
    <x:row r="9" ht="15" hidden="0" customHeight="1">
      <x:c r="A9" s="76" t="n">
        <x:f>IF(U9="Yes",COUNTIFS($U$3:$U$55,"Yes",$T$3:$T$55,"&gt;"&amp;T9)+1,"")</x:f>
        <x:v>7</x:v>
      </x:c>
      <x:c r="B9" s="76" t="n">
        <x:f>IF(U9="Yes",COUNTIFS($D$3:$D$55,D9,$T$3:$T$55,"&gt;"&amp;T9)+1,"")</x:f>
        <x:v>1</x:v>
      </x:c>
      <x:c r="C9" s="83" t="str">
        <x:v>Crawl4AI</x:v>
      </x:c>
      <x:c r="D9" s="83" t="str">
        <x:v>Prospecting &amp; Web Data</x:v>
      </x:c>
      <x:c r="E9" s="83" t="str">
        <x:v>Firecrawl</x:v>
      </x:c>
      <x:c r="F9" s="83" t="str">
        <x:v>Crawler that produces AI-ready web content.</x:v>
      </x:c>
      <x:c r="G9" s="83" t="str">
        <x:v>Apache-2.0</x:v>
      </x:c>
      <x:c r="H9" s="83" t="str">
        <x:v>Permissive open source</x:v>
      </x:c>
      <x:c r="I9" s="91" t="n">
        <x:v>73401</x:v>
      </x:c>
      <x:c r="J9" s="91" t="n">
        <x:v>7546</x:v>
      </x:c>
      <x:c r="K9" s="91" t="n">
        <x:v>111</x:v>
      </x:c>
      <x:c r="L9" s="92" t="n">
        <x:v>46223.387870370374</x:v>
      </x:c>
      <x:c r="M9" s="76" t="n">
        <x:f>MAX(0,INT('Scoring Method'!$G$20)-INT(L9))</x:f>
        <x:v>0</x:v>
      </x:c>
      <x:c r="N9" s="93" t="n">
        <x:f>ROUND(MIN(25,25*LN(I9+1)/LN(MAX($I$3:$I$55)+1)),1)</x:f>
        <x:v>23.5</x:v>
      </x:c>
      <x:c r="O9" s="93" t="n">
        <x:f>ROUND(MIN(15,15*LN(J9+1)/LN(MAX($J$3:$J$55)+1)),1)</x:f>
        <x:v>13.2</x:v>
      </x:c>
      <x:c r="P9" s="93" t="n">
        <x:f>IF(M9&lt;=7,20,IF(M9&lt;=30,18,IF(M9&lt;=90,14,IF(M9&lt;=180,10,IF(M9&lt;=365,5,0)))))</x:f>
        <x:v>20</x:v>
      </x:c>
      <x:c r="Q9" s="93" t="n">
        <x:v>13</x:v>
      </x:c>
      <x:c r="R9" s="93" t="n">
        <x:v>12</x:v>
      </x:c>
      <x:c r="S9" s="93" t="n">
        <x:f>IFERROR(VLOOKUP(H9,'Scoring Method'!$A$15:$B$20,2,FALSE),0)</x:f>
        <x:v>10</x:v>
      </x:c>
      <x:c r="T9" s="93" t="n">
        <x:f>ROUND(SUM(N9:S9),1)</x:f>
        <x:v>91.7</x:v>
      </x:c>
      <x:c r="U9" s="76" t="str">
        <x:f>IF(OR(H9="Source available",H9="Unlicensed / unclear"),"No","Yes")</x:f>
        <x:v>Yes</x:v>
      </x:c>
      <x:c r="V9" s="76" t="str">
        <x:f>IF(I9&gt;=20000,"Established",IF(I9&gt;=5000,"Mature",IF(I9&gt;=1000,"Growing","Early")))</x:f>
        <x:v>Established</x:v>
      </x:c>
      <x:c r="W9" s="83" t="str">
        <x:f>IF(U9&lt;&gt;"Yes","Watchlist",IF(T9&gt;=80,"Strong shortlist",IF(T9&gt;=68,"Pilot",IF(T9&gt;=55,"Evaluate","Monitor"))))</x:f>
        <x:v>Strong shortlist</x:v>
      </x:c>
      <x:c r="X9" s="83" t="str">
        <x:v>https://github.com/unclecode/crawl4ai</x:v>
      </x:c>
      <x:c r="Y9" s="83" t="str">
        <x:v>https://crawl4ai.com</x:v>
      </x:c>
      <x:c r="Z9" s="94" t="n">
        <x:v>46223</x:v>
      </x:c>
    </x:row>
    <x:row r="10" ht="15" hidden="0" customHeight="1">
      <x:c r="A10" s="76" t="n">
        <x:f>IF(U10="Yes",COUNTIFS($U$3:$U$55,"Yes",$T$3:$T$55,"&gt;"&amp;T10)+1,"")</x:f>
        <x:v>8</x:v>
      </x:c>
      <x:c r="B10" s="76" t="n">
        <x:f>IF(U10="Yes",COUNTIFS($D$3:$D$55,D10,$T$3:$T$55,"&gt;"&amp;T10)+1,"")</x:f>
        <x:v>1</x:v>
      </x:c>
      <x:c r="C10" s="83" t="str">
        <x:v>LangChain</x:v>
      </x:c>
      <x:c r="D10" s="83" t="str">
        <x:v>Agent &amp; GTM Developer Tools</x:v>
      </x:c>
      <x:c r="E10" s="83" t="str">
        <x:v>Proprietary agent SDKs</x:v>
      </x:c>
      <x:c r="F10" s="83" t="str">
        <x:v>Framework and integrations for agent applications.</x:v>
      </x:c>
      <x:c r="G10" s="83" t="str">
        <x:v>MIT</x:v>
      </x:c>
      <x:c r="H10" s="83" t="str">
        <x:v>Permissive open source</x:v>
      </x:c>
      <x:c r="I10" s="91" t="n">
        <x:v>142171</x:v>
      </x:c>
      <x:c r="J10" s="91" t="n">
        <x:v>23644</x:v>
      </x:c>
      <x:c r="K10" s="91" t="n">
        <x:v>437</x:v>
      </x:c>
      <x:c r="L10" s="92" t="n">
        <x:v>46223.65462962963</x:v>
      </x:c>
      <x:c r="M10" s="76" t="n">
        <x:f>MAX(0,INT('Scoring Method'!$G$20)-INT(L10))</x:f>
        <x:v>0</x:v>
      </x:c>
      <x:c r="N10" s="93" t="n">
        <x:f>ROUND(MIN(25,25*LN(I10+1)/LN(MAX($I$3:$I$55)+1)),1)</x:f>
        <x:v>24.9</x:v>
      </x:c>
      <x:c r="O10" s="93" t="n">
        <x:f>ROUND(MIN(15,15*LN(J10+1)/LN(MAX($J$3:$J$55)+1)),1)</x:f>
        <x:v>14.9</x:v>
      </x:c>
      <x:c r="P10" s="93" t="n">
        <x:f>IF(M10&lt;=7,20,IF(M10&lt;=30,18,IF(M10&lt;=90,14,IF(M10&lt;=180,10,IF(M10&lt;=365,5,0)))))</x:f>
        <x:v>20</x:v>
      </x:c>
      <x:c r="Q10" s="93" t="n">
        <x:v>13</x:v>
      </x:c>
      <x:c r="R10" s="93" t="n">
        <x:v>8</x:v>
      </x:c>
      <x:c r="S10" s="93" t="n">
        <x:f>IFERROR(VLOOKUP(H10,'Scoring Method'!$A$15:$B$20,2,FALSE),0)</x:f>
        <x:v>10</x:v>
      </x:c>
      <x:c r="T10" s="93" t="n">
        <x:f>ROUND(SUM(N10:S10),1)</x:f>
        <x:v>90.8</x:v>
      </x:c>
      <x:c r="U10" s="76" t="str">
        <x:f>IF(OR(H10="Source available",H10="Unlicensed / unclear"),"No","Yes")</x:f>
        <x:v>Yes</x:v>
      </x:c>
      <x:c r="V10" s="76" t="str">
        <x:f>IF(I10&gt;=20000,"Established",IF(I10&gt;=5000,"Mature",IF(I10&gt;=1000,"Growing","Early")))</x:f>
        <x:v>Established</x:v>
      </x:c>
      <x:c r="W10" s="83" t="str">
        <x:f>IF(U10&lt;&gt;"Yes","Watchlist",IF(T10&gt;=80,"Strong shortlist",IF(T10&gt;=68,"Pilot",IF(T10&gt;=55,"Evaluate","Monitor"))))</x:f>
        <x:v>Strong shortlist</x:v>
      </x:c>
      <x:c r="X10" s="83" t="str">
        <x:v>https://github.com/langchain-ai/langchain</x:v>
      </x:c>
      <x:c r="Y10" s="83" t="str">
        <x:v>https://docs.langchain.com/langchain/</x:v>
      </x:c>
      <x:c r="Z10" s="94" t="n">
        <x:v>46223</x:v>
      </x:c>
    </x:row>
    <x:row r="11" ht="15" hidden="0" customHeight="1">
      <x:c r="A11" s="76" t="n">
        <x:f>IF(U11="Yes",COUNTIFS($U$3:$U$55,"Yes",$T$3:$T$55,"&gt;"&amp;T11)+1,"")</x:f>
        <x:v>9</x:v>
      </x:c>
      <x:c r="B11" s="76" t="n">
        <x:f>IF(U11="Yes",COUNTIFS($D$3:$D$55,D11,$T$3:$T$55,"&gt;"&amp;T11)+1,"")</x:f>
        <x:v>2</x:v>
      </x:c>
      <x:c r="C11" s="83" t="str">
        <x:v>Payload</x:v>
      </x:c>
      <x:c r="D11" s="83" t="str">
        <x:v>Website &amp; Content</x:v>
      </x:c>
      <x:c r="E11" s="83" t="str">
        <x:v>Contentful; Sanity</x:v>
      </x:c>
      <x:c r="F11" s="83" t="str">
        <x:v>Code-first headless content platform.</x:v>
      </x:c>
      <x:c r="G11" s="83" t="str">
        <x:v>MIT</x:v>
      </x:c>
      <x:c r="H11" s="83" t="str">
        <x:v>Permissive open source</x:v>
      </x:c>
      <x:c r="I11" s="91" t="n">
        <x:v>43707</x:v>
      </x:c>
      <x:c r="J11" s="91" t="n">
        <x:v>3952</x:v>
      </x:c>
      <x:c r="K11" s="91" t="n">
        <x:v>897</x:v>
      </x:c>
      <x:c r="L11" s="92" t="n">
        <x:v>46223.67972222222</x:v>
      </x:c>
      <x:c r="M11" s="76" t="n">
        <x:f>MAX(0,INT('Scoring Method'!$G$20)-INT(L11))</x:f>
        <x:v>0</x:v>
      </x:c>
      <x:c r="N11" s="93" t="n">
        <x:f>ROUND(MIN(25,25*LN(I11+1)/LN(MAX($I$3:$I$55)+1)),1)</x:f>
        <x:v>22.4</x:v>
      </x:c>
      <x:c r="O11" s="93" t="n">
        <x:f>ROUND(MIN(15,15*LN(J11+1)/LN(MAX($J$3:$J$55)+1)),1)</x:f>
        <x:v>12.3</x:v>
      </x:c>
      <x:c r="P11" s="93" t="n">
        <x:f>IF(M11&lt;=7,20,IF(M11&lt;=30,18,IF(M11&lt;=90,14,IF(M11&lt;=180,10,IF(M11&lt;=365,5,0)))))</x:f>
        <x:v>20</x:v>
      </x:c>
      <x:c r="Q11" s="93" t="n">
        <x:v>14</x:v>
      </x:c>
      <x:c r="R11" s="93" t="n">
        <x:v>12</x:v>
      </x:c>
      <x:c r="S11" s="93" t="n">
        <x:f>IFERROR(VLOOKUP(H11,'Scoring Method'!$A$15:$B$20,2,FALSE),0)</x:f>
        <x:v>10</x:v>
      </x:c>
      <x:c r="T11" s="93" t="n">
        <x:f>ROUND(SUM(N11:S11),1)</x:f>
        <x:v>90.7</x:v>
      </x:c>
      <x:c r="U11" s="76" t="str">
        <x:f>IF(OR(H11="Source available",H11="Unlicensed / unclear"),"No","Yes")</x:f>
        <x:v>Yes</x:v>
      </x:c>
      <x:c r="V11" s="76" t="str">
        <x:f>IF(I11&gt;=20000,"Established",IF(I11&gt;=5000,"Mature",IF(I11&gt;=1000,"Growing","Early")))</x:f>
        <x:v>Established</x:v>
      </x:c>
      <x:c r="W11" s="83" t="str">
        <x:f>IF(U11&lt;&gt;"Yes","Watchlist",IF(T11&gt;=80,"Strong shortlist",IF(T11&gt;=68,"Pilot",IF(T11&gt;=55,"Evaluate","Monitor"))))</x:f>
        <x:v>Strong shortlist</x:v>
      </x:c>
      <x:c r="X11" s="83" t="str">
        <x:v>https://github.com/payloadcms/payload</x:v>
      </x:c>
      <x:c r="Y11" s="83" t="str">
        <x:v>https://payloadcms.com</x:v>
      </x:c>
      <x:c r="Z11" s="94" t="n">
        <x:v>46223</x:v>
      </x:c>
    </x:row>
    <x:row r="12" ht="15" hidden="0" customHeight="1">
      <x:c r="A12" s="76" t="n">
        <x:f>IF(U12="Yes",COUNTIFS($U$3:$U$55,"Yes",$T$3:$T$55,"&gt;"&amp;T12)+1,"")</x:f>
        <x:v>10</x:v>
      </x:c>
      <x:c r="B12" s="76" t="n">
        <x:f>IF(U12="Yes",COUNTIFS($D$3:$D$55,D12,$T$3:$T$55,"&gt;"&amp;T12)+1,"")</x:f>
        <x:v>1</x:v>
      </x:c>
      <x:c r="C12" s="83" t="str">
        <x:v>listmonk</x:v>
      </x:c>
      <x:c r="D12" s="83" t="str">
        <x:v>Marketing Automation &amp; Email</x:v>
      </x:c>
      <x:c r="E12" s="83" t="str">
        <x:v>Mailchimp; Campaign Monitor</x:v>
      </x:c>
      <x:c r="F12" s="83" t="str">
        <x:v>High-performance newsletter and mailing-list manager.</x:v>
      </x:c>
      <x:c r="G12" s="83" t="str">
        <x:v>AGPL-3.0</x:v>
      </x:c>
      <x:c r="H12" s="83" t="str">
        <x:v>Copyleft open source</x:v>
      </x:c>
      <x:c r="I12" s="91" t="n">
        <x:v>22294</x:v>
      </x:c>
      <x:c r="J12" s="91" t="n">
        <x:v>2427</x:v>
      </x:c>
      <x:c r="K12" s="91" t="n">
        <x:v>101</x:v>
      </x:c>
      <x:c r="L12" s="92" t="n">
        <x:v>46223.13429398148</x:v>
      </x:c>
      <x:c r="M12" s="76" t="n">
        <x:f>MAX(0,INT('Scoring Method'!$G$20)-INT(L12))</x:f>
        <x:v>0</x:v>
      </x:c>
      <x:c r="N12" s="93" t="n">
        <x:f>ROUND(MIN(25,25*LN(I12+1)/LN(MAX($I$3:$I$55)+1)),1)</x:f>
        <x:v>21</x:v>
      </x:c>
      <x:c r="O12" s="93" t="n">
        <x:f>ROUND(MIN(15,15*LN(J12+1)/LN(MAX($J$3:$J$55)+1)),1)</x:f>
        <x:v>11.6</x:v>
      </x:c>
      <x:c r="P12" s="93" t="n">
        <x:f>IF(M12&lt;=7,20,IF(M12&lt;=30,18,IF(M12&lt;=90,14,IF(M12&lt;=180,10,IF(M12&lt;=365,5,0)))))</x:f>
        <x:v>20</x:v>
      </x:c>
      <x:c r="Q12" s="93" t="n">
        <x:v>15</x:v>
      </x:c>
      <x:c r="R12" s="93" t="n">
        <x:v>14</x:v>
      </x:c>
      <x:c r="S12" s="93" t="n">
        <x:f>IFERROR(VLOOKUP(H12,'Scoring Method'!$A$15:$B$20,2,FALSE),0)</x:f>
        <x:v>9</x:v>
      </x:c>
      <x:c r="T12" s="93" t="n">
        <x:f>ROUND(SUM(N12:S12),1)</x:f>
        <x:v>90.6</x:v>
      </x:c>
      <x:c r="U12" s="76" t="str">
        <x:f>IF(OR(H12="Source available",H12="Unlicensed / unclear"),"No","Yes")</x:f>
        <x:v>Yes</x:v>
      </x:c>
      <x:c r="V12" s="76" t="str">
        <x:f>IF(I12&gt;=20000,"Established",IF(I12&gt;=5000,"Mature",IF(I12&gt;=1000,"Growing","Early")))</x:f>
        <x:v>Established</x:v>
      </x:c>
      <x:c r="W12" s="83" t="str">
        <x:f>IF(U12&lt;&gt;"Yes","Watchlist",IF(T12&gt;=80,"Strong shortlist",IF(T12&gt;=68,"Pilot",IF(T12&gt;=55,"Evaluate","Monitor"))))</x:f>
        <x:v>Strong shortlist</x:v>
      </x:c>
      <x:c r="X12" s="83" t="str">
        <x:v>https://github.com/knadh/listmonk</x:v>
      </x:c>
      <x:c r="Y12" s="83" t="str">
        <x:v>https://listmonk.app</x:v>
      </x:c>
      <x:c r="Z12" s="94" t="n">
        <x:v>46223</x:v>
      </x:c>
    </x:row>
    <x:row r="13" ht="24" hidden="0" customHeight="1">
      <x:c r="A13" s="76" t="n">
        <x:f>IF(U13="Yes",COUNTIFS($U$3:$U$55,"Yes",$T$3:$T$55,"&gt;"&amp;T13)+1,"")</x:f>
        <x:v>11</x:v>
      </x:c>
      <x:c r="B13" s="76" t="n">
        <x:f>IF(U13="Yes",COUNTIFS($D$3:$D$55,D13,$T$3:$T$55,"&gt;"&amp;T13)+1,"")</x:f>
        <x:v>2</x:v>
      </x:c>
      <x:c r="C13" s="83" t="str">
        <x:v>PostHog</x:v>
      </x:c>
      <x:c r="D13" s="83" t="str">
        <x:v>Analytics &amp; Experimentation</x:v>
      </x:c>
      <x:c r="E13" s="83" t="str">
        <x:v>Mixpanel; Amplitude; Hotjar</x:v>
      </x:c>
      <x:c r="F13" s="83" t="str">
        <x:v>Product analytics, replay, experiments, surveys and warehouse.</x:v>
      </x:c>
      <x:c r="G13" s="83" t="str">
        <x:v>MIT core + enterprise files</x:v>
      </x:c>
      <x:c r="H13" s="83" t="str">
        <x:v>Open core (permissive)</x:v>
      </x:c>
      <x:c r="I13" s="91" t="n">
        <x:v>37116</x:v>
      </x:c>
      <x:c r="J13" s="91" t="n">
        <x:v>3067</x:v>
      </x:c>
      <x:c r="K13" s="91" t="n">
        <x:v>4848</x:v>
      </x:c>
      <x:c r="L13" s="92" t="n">
        <x:v>46223.70454861111</x:v>
      </x:c>
      <x:c r="M13" s="76" t="n">
        <x:f>MAX(0,INT('Scoring Method'!$G$20)-INT(L13))</x:f>
        <x:v>0</x:v>
      </x:c>
      <x:c r="N13" s="93" t="n">
        <x:f>ROUND(MIN(25,25*LN(I13+1)/LN(MAX($I$3:$I$55)+1)),1)</x:f>
        <x:v>22.1</x:v>
      </x:c>
      <x:c r="O13" s="93" t="n">
        <x:f>ROUND(MIN(15,15*LN(J13+1)/LN(MAX($J$3:$J$55)+1)),1)</x:f>
        <x:v>11.9</x:v>
      </x:c>
      <x:c r="P13" s="93" t="n">
        <x:f>IF(M13&lt;=7,20,IF(M13&lt;=30,18,IF(M13&lt;=90,14,IF(M13&lt;=180,10,IF(M13&lt;=365,5,0)))))</x:f>
        <x:v>20</x:v>
      </x:c>
      <x:c r="Q13" s="93" t="n">
        <x:v>14</x:v>
      </x:c>
      <x:c r="R13" s="93" t="n">
        <x:v>14</x:v>
      </x:c>
      <x:c r="S13" s="93" t="n">
        <x:f>IFERROR(VLOOKUP(H13,'Scoring Method'!$A$15:$B$20,2,FALSE),0)</x:f>
        <x:v>8</x:v>
      </x:c>
      <x:c r="T13" s="93" t="n">
        <x:f>ROUND(SUM(N13:S13),1)</x:f>
        <x:v>90</x:v>
      </x:c>
      <x:c r="U13" s="76" t="str">
        <x:f>IF(OR(H13="Source available",H13="Unlicensed / unclear"),"No","Yes")</x:f>
        <x:v>Yes</x:v>
      </x:c>
      <x:c r="V13" s="76" t="str">
        <x:f>IF(I13&gt;=20000,"Established",IF(I13&gt;=5000,"Mature",IF(I13&gt;=1000,"Growing","Early")))</x:f>
        <x:v>Established</x:v>
      </x:c>
      <x:c r="W13" s="83" t="str">
        <x:f>IF(U13&lt;&gt;"Yes","Watchlist",IF(T13&gt;=80,"Strong shortlist",IF(T13&gt;=68,"Pilot",IF(T13&gt;=55,"Evaluate","Monitor"))))</x:f>
        <x:v>Strong shortlist</x:v>
      </x:c>
      <x:c r="X13" s="83" t="str">
        <x:v>https://github.com/PostHog/posthog</x:v>
      </x:c>
      <x:c r="Y13" s="83" t="str">
        <x:v>https://posthog.com</x:v>
      </x:c>
      <x:c r="Z13" s="94" t="n">
        <x:v>46223</x:v>
      </x:c>
    </x:row>
    <x:row r="14" ht="15" hidden="0" customHeight="1">
      <x:c r="A14" s="76" t="n">
        <x:f>IF(U14="Yes",COUNTIFS($U$3:$U$55,"Yes",$T$3:$T$55,"&gt;"&amp;T14)+1,"")</x:f>
        <x:v>12</x:v>
      </x:c>
      <x:c r="B14" s="76" t="n">
        <x:f>IF(U14="Yes",COUNTIFS($D$3:$D$55,D14,$T$3:$T$55,"&gt;"&amp;T14)+1,"")</x:f>
        <x:v>2</x:v>
      </x:c>
      <x:c r="C14" s="83" t="str">
        <x:v>Flowise</x:v>
      </x:c>
      <x:c r="D14" s="83" t="str">
        <x:v>Agent &amp; GTM Developer Tools</x:v>
      </x:c>
      <x:c r="E14" s="83" t="str">
        <x:v>AirOps; visual agent builders</x:v>
      </x:c>
      <x:c r="F14" s="83" t="str">
        <x:v>Visual builder for agent and language-model workflows.</x:v>
      </x:c>
      <x:c r="G14" s="83" t="str">
        <x:v>Apache-2.0 core + enterprise files</x:v>
      </x:c>
      <x:c r="H14" s="83" t="str">
        <x:v>Open core (permissive)</x:v>
      </x:c>
      <x:c r="I14" s="91" t="n">
        <x:v>54770</x:v>
      </x:c>
      <x:c r="J14" s="91" t="n">
        <x:v>24739</x:v>
      </x:c>
      <x:c r="K14" s="91" t="n">
        <x:v>1009</x:v>
      </x:c>
      <x:c r="L14" s="92" t="n">
        <x:v>46220.38363425926</x:v>
      </x:c>
      <x:c r="M14" s="76" t="n">
        <x:f>MAX(0,INT('Scoring Method'!$G$20)-INT(L14))</x:f>
        <x:v>3</x:v>
      </x:c>
      <x:c r="N14" s="93" t="n">
        <x:f>ROUND(MIN(25,25*LN(I14+1)/LN(MAX($I$3:$I$55)+1)),1)</x:f>
        <x:v>22.9</x:v>
      </x:c>
      <x:c r="O14" s="93" t="n">
        <x:f>ROUND(MIN(15,15*LN(J14+1)/LN(MAX($J$3:$J$55)+1)),1)</x:f>
        <x:v>15</x:v>
      </x:c>
      <x:c r="P14" s="93" t="n">
        <x:f>IF(M14&lt;=7,20,IF(M14&lt;=30,18,IF(M14&lt;=90,14,IF(M14&lt;=180,10,IF(M14&lt;=365,5,0)))))</x:f>
        <x:v>20</x:v>
      </x:c>
      <x:c r="Q14" s="93" t="n">
        <x:v>14</x:v>
      </x:c>
      <x:c r="R14" s="93" t="n">
        <x:v>10</x:v>
      </x:c>
      <x:c r="S14" s="93" t="n">
        <x:f>IFERROR(VLOOKUP(H14,'Scoring Method'!$A$15:$B$20,2,FALSE),0)</x:f>
        <x:v>8</x:v>
      </x:c>
      <x:c r="T14" s="93" t="n">
        <x:f>ROUND(SUM(N14:S14),1)</x:f>
        <x:v>89.9</x:v>
      </x:c>
      <x:c r="U14" s="76" t="str">
        <x:f>IF(OR(H14="Source available",H14="Unlicensed / unclear"),"No","Yes")</x:f>
        <x:v>Yes</x:v>
      </x:c>
      <x:c r="V14" s="76" t="str">
        <x:f>IF(I14&gt;=20000,"Established",IF(I14&gt;=5000,"Mature",IF(I14&gt;=1000,"Growing","Early")))</x:f>
        <x:v>Established</x:v>
      </x:c>
      <x:c r="W14" s="83" t="str">
        <x:f>IF(U14&lt;&gt;"Yes","Watchlist",IF(T14&gt;=80,"Strong shortlist",IF(T14&gt;=68,"Pilot",IF(T14&gt;=55,"Evaluate","Monitor"))))</x:f>
        <x:v>Strong shortlist</x:v>
      </x:c>
      <x:c r="X14" s="83" t="str">
        <x:v>https://github.com/FlowiseAI/Flowise</x:v>
      </x:c>
      <x:c r="Y14" s="83" t="str">
        <x:v>https://flowiseai.com</x:v>
      </x:c>
      <x:c r="Z14" s="94" t="n">
        <x:v>46223</x:v>
      </x:c>
    </x:row>
    <x:row r="15" ht="15" hidden="0" customHeight="1">
      <x:c r="A15" s="76" t="n">
        <x:f>IF(U15="Yes",COUNTIFS($U$3:$U$55,"Yes",$T$3:$T$55,"&gt;"&amp;T15)+1,"")</x:f>
        <x:v>13</x:v>
      </x:c>
      <x:c r="B15" s="76" t="n">
        <x:f>IF(U15="Yes",COUNTIFS($D$3:$D$55,D15,$T$3:$T$55,"&gt;"&amp;T15)+1,"")</x:f>
        <x:v>2</x:v>
      </x:c>
      <x:c r="C15" s="83" t="str">
        <x:v>ComfyUI</x:v>
      </x:c>
      <x:c r="D15" s="83" t="str">
        <x:v>Creative &amp; Content</x:v>
      </x:c>
      <x:c r="E15" s="83" t="str">
        <x:v>Midjourney; Runway image workflows</x:v>
      </x:c>
      <x:c r="F15" s="83" t="str">
        <x:v>Node-based generative media workflow interface.</x:v>
      </x:c>
      <x:c r="G15" s="83" t="str">
        <x:v>GPL-3.0</x:v>
      </x:c>
      <x:c r="H15" s="83" t="str">
        <x:v>Copyleft open source</x:v>
      </x:c>
      <x:c r="I15" s="91" t="n">
        <x:v>121541</x:v>
      </x:c>
      <x:c r="J15" s="91" t="n">
        <x:v>14320</x:v>
      </x:c>
      <x:c r="K15" s="91" t="n">
        <x:v>4304</x:v>
      </x:c>
      <x:c r="L15" s="92" t="n">
        <x:v>46222.92626157407</x:v>
      </x:c>
      <x:c r="M15" s="76" t="n">
        <x:f>MAX(0,INT('Scoring Method'!$G$20)-INT(L15))</x:f>
        <x:v>1</x:v>
      </x:c>
      <x:c r="N15" s="93" t="n">
        <x:f>ROUND(MIN(25,25*LN(I15+1)/LN(MAX($I$3:$I$55)+1)),1)</x:f>
        <x:v>24.6</x:v>
      </x:c>
      <x:c r="O15" s="93" t="n">
        <x:f>ROUND(MIN(15,15*LN(J15+1)/LN(MAX($J$3:$J$55)+1)),1)</x:f>
        <x:v>14.2</x:v>
      </x:c>
      <x:c r="P15" s="93" t="n">
        <x:f>IF(M15&lt;=7,20,IF(M15&lt;=30,18,IF(M15&lt;=90,14,IF(M15&lt;=180,10,IF(M15&lt;=365,5,0)))))</x:f>
        <x:v>20</x:v>
      </x:c>
      <x:c r="Q15" s="93" t="n">
        <x:v>12</x:v>
      </x:c>
      <x:c r="R15" s="93" t="n">
        <x:v>10</x:v>
      </x:c>
      <x:c r="S15" s="93" t="n">
        <x:f>IFERROR(VLOOKUP(H15,'Scoring Method'!$A$15:$B$20,2,FALSE),0)</x:f>
        <x:v>9</x:v>
      </x:c>
      <x:c r="T15" s="93" t="n">
        <x:f>ROUND(SUM(N15:S15),1)</x:f>
        <x:v>89.8</x:v>
      </x:c>
      <x:c r="U15" s="76" t="str">
        <x:f>IF(OR(H15="Source available",H15="Unlicensed / unclear"),"No","Yes")</x:f>
        <x:v>Yes</x:v>
      </x:c>
      <x:c r="V15" s="76" t="str">
        <x:f>IF(I15&gt;=20000,"Established",IF(I15&gt;=5000,"Mature",IF(I15&gt;=1000,"Growing","Early")))</x:f>
        <x:v>Established</x:v>
      </x:c>
      <x:c r="W15" s="83" t="str">
        <x:f>IF(U15&lt;&gt;"Yes","Watchlist",IF(T15&gt;=80,"Strong shortlist",IF(T15&gt;=68,"Pilot",IF(T15&gt;=55,"Evaluate","Monitor"))))</x:f>
        <x:v>Strong shortlist</x:v>
      </x:c>
      <x:c r="X15" s="83" t="str">
        <x:v>https://github.com/Comfy-Org/ComfyUI</x:v>
      </x:c>
      <x:c r="Y15" s="83" t="str">
        <x:v>https://www.comfy.org/</x:v>
      </x:c>
      <x:c r="Z15" s="94" t="n">
        <x:v>46223</x:v>
      </x:c>
    </x:row>
    <x:row r="16" ht="15" hidden="0" customHeight="1">
      <x:c r="A16" s="76" t="n">
        <x:f>IF(U16="Yes",COUNTIFS($U$3:$U$55,"Yes",$T$3:$T$55,"&gt;"&amp;T16)+1,"")</x:f>
        <x:v>13</x:v>
      </x:c>
      <x:c r="B16" s="76" t="n">
        <x:f>IF(U16="Yes",COUNTIFS($D$3:$D$55,D16,$T$3:$T$55,"&gt;"&amp;T16)+1,"")</x:f>
        <x:v>3</x:v>
      </x:c>
      <x:c r="C16" s="83" t="str">
        <x:v>Matomo</x:v>
      </x:c>
      <x:c r="D16" s="83" t="str">
        <x:v>Analytics &amp; Experimentation</x:v>
      </x:c>
      <x:c r="E16" s="83" t="str">
        <x:v>Google Analytics; Adobe Analytics</x:v>
      </x:c>
      <x:c r="F16" s="83" t="str">
        <x:v>Mature web analytics with data ownership.</x:v>
      </x:c>
      <x:c r="G16" s="83" t="str">
        <x:v>GPL-3.0</x:v>
      </x:c>
      <x:c r="H16" s="83" t="str">
        <x:v>Copyleft open source</x:v>
      </x:c>
      <x:c r="I16" s="91" t="n">
        <x:v>21705</x:v>
      </x:c>
      <x:c r="J16" s="91" t="n">
        <x:v>2867</x:v>
      </x:c>
      <x:c r="K16" s="91" t="n">
        <x:v>2536</x:v>
      </x:c>
      <x:c r="L16" s="92" t="n">
        <x:v>46223.68174768519</x:v>
      </x:c>
      <x:c r="M16" s="76" t="n">
        <x:f>MAX(0,INT('Scoring Method'!$G$20)-INT(L16))</x:f>
        <x:v>0</x:v>
      </x:c>
      <x:c r="N16" s="93" t="n">
        <x:f>ROUND(MIN(25,25*LN(I16+1)/LN(MAX($I$3:$I$55)+1)),1)</x:f>
        <x:v>21</x:v>
      </x:c>
      <x:c r="O16" s="93" t="n">
        <x:f>ROUND(MIN(15,15*LN(J16+1)/LN(MAX($J$3:$J$55)+1)),1)</x:f>
        <x:v>11.8</x:v>
      </x:c>
      <x:c r="P16" s="93" t="n">
        <x:f>IF(M16&lt;=7,20,IF(M16&lt;=30,18,IF(M16&lt;=90,14,IF(M16&lt;=180,10,IF(M16&lt;=365,5,0)))))</x:f>
        <x:v>20</x:v>
      </x:c>
      <x:c r="Q16" s="93" t="n">
        <x:v>14</x:v>
      </x:c>
      <x:c r="R16" s="93" t="n">
        <x:v>14</x:v>
      </x:c>
      <x:c r="S16" s="93" t="n">
        <x:f>IFERROR(VLOOKUP(H16,'Scoring Method'!$A$15:$B$20,2,FALSE),0)</x:f>
        <x:v>9</x:v>
      </x:c>
      <x:c r="T16" s="93" t="n">
        <x:f>ROUND(SUM(N16:S16),1)</x:f>
        <x:v>89.8</x:v>
      </x:c>
      <x:c r="U16" s="76" t="str">
        <x:f>IF(OR(H16="Source available",H16="Unlicensed / unclear"),"No","Yes")</x:f>
        <x:v>Yes</x:v>
      </x:c>
      <x:c r="V16" s="76" t="str">
        <x:f>IF(I16&gt;=20000,"Established",IF(I16&gt;=5000,"Mature",IF(I16&gt;=1000,"Growing","Early")))</x:f>
        <x:v>Established</x:v>
      </x:c>
      <x:c r="W16" s="83" t="str">
        <x:f>IF(U16&lt;&gt;"Yes","Watchlist",IF(T16&gt;=80,"Strong shortlist",IF(T16&gt;=68,"Pilot",IF(T16&gt;=55,"Evaluate","Monitor"))))</x:f>
        <x:v>Strong shortlist</x:v>
      </x:c>
      <x:c r="X16" s="83" t="str">
        <x:v>https://github.com/matomo-org/matomo</x:v>
      </x:c>
      <x:c r="Y16" s="83" t="str">
        <x:v>https://matomo.org/</x:v>
      </x:c>
      <x:c r="Z16" s="94" t="n">
        <x:v>46223</x:v>
      </x:c>
    </x:row>
    <x:row r="17" ht="15" hidden="0" customHeight="1">
      <x:c r="A17" s="76" t="n">
        <x:f>IF(U17="Yes",COUNTIFS($U$3:$U$55,"Yes",$T$3:$T$55,"&gt;"&amp;T17)+1,"")</x:f>
        <x:v>15</x:v>
      </x:c>
      <x:c r="B17" s="76" t="n">
        <x:f>IF(U17="Yes",COUNTIFS($D$3:$D$55,D17,$T$3:$T$55,"&gt;"&amp;T17)+1,"")</x:f>
        <x:v>1</x:v>
      </x:c>
      <x:c r="C17" s="83" t="str">
        <x:v>Activepieces</x:v>
      </x:c>
      <x:c r="D17" s="83" t="str">
        <x:v>Workflow Automation</x:v>
      </x:c>
      <x:c r="E17" s="83" t="str">
        <x:v>Zapier; Make</x:v>
      </x:c>
      <x:c r="F17" s="83" t="str">
        <x:v>Business automation with connectors and AI steps.</x:v>
      </x:c>
      <x:c r="G17" s="83" t="str">
        <x:v>MIT core + enterprise files</x:v>
      </x:c>
      <x:c r="H17" s="83" t="str">
        <x:v>Open core (permissive)</x:v>
      </x:c>
      <x:c r="I17" s="91" t="n">
        <x:v>23343</x:v>
      </x:c>
      <x:c r="J17" s="91" t="n">
        <x:v>3942</x:v>
      </x:c>
      <x:c r="K17" s="91" t="n">
        <x:v>436</x:v>
      </x:c>
      <x:c r="L17" s="92" t="n">
        <x:v>46223.70400462963</x:v>
      </x:c>
      <x:c r="M17" s="76" t="n">
        <x:f>MAX(0,INT('Scoring Method'!$G$20)-INT(L17))</x:f>
        <x:v>0</x:v>
      </x:c>
      <x:c r="N17" s="93" t="n">
        <x:f>ROUND(MIN(25,25*LN(I17+1)/LN(MAX($I$3:$I$55)+1)),1)</x:f>
        <x:v>21.1</x:v>
      </x:c>
      <x:c r="O17" s="93" t="n">
        <x:f>ROUND(MIN(15,15*LN(J17+1)/LN(MAX($J$3:$J$55)+1)),1)</x:f>
        <x:v>12.3</x:v>
      </x:c>
      <x:c r="P17" s="93" t="n">
        <x:f>IF(M17&lt;=7,20,IF(M17&lt;=30,18,IF(M17&lt;=90,14,IF(M17&lt;=180,10,IF(M17&lt;=365,5,0)))))</x:f>
        <x:v>20</x:v>
      </x:c>
      <x:c r="Q17" s="93" t="n">
        <x:v>14</x:v>
      </x:c>
      <x:c r="R17" s="93" t="n">
        <x:v>14</x:v>
      </x:c>
      <x:c r="S17" s="93" t="n">
        <x:f>IFERROR(VLOOKUP(H17,'Scoring Method'!$A$15:$B$20,2,FALSE),0)</x:f>
        <x:v>8</x:v>
      </x:c>
      <x:c r="T17" s="93" t="n">
        <x:f>ROUND(SUM(N17:S17),1)</x:f>
        <x:v>89.4</x:v>
      </x:c>
      <x:c r="U17" s="76" t="str">
        <x:f>IF(OR(H17="Source available",H17="Unlicensed / unclear"),"No","Yes")</x:f>
        <x:v>Yes</x:v>
      </x:c>
      <x:c r="V17" s="76" t="str">
        <x:f>IF(I17&gt;=20000,"Established",IF(I17&gt;=5000,"Mature",IF(I17&gt;=1000,"Growing","Early")))</x:f>
        <x:v>Established</x:v>
      </x:c>
      <x:c r="W17" s="83" t="str">
        <x:f>IF(U17&lt;&gt;"Yes","Watchlist",IF(T17&gt;=80,"Strong shortlist",IF(T17&gt;=68,"Pilot",IF(T17&gt;=55,"Evaluate","Monitor"))))</x:f>
        <x:v>Strong shortlist</x:v>
      </x:c>
      <x:c r="X17" s="83" t="str">
        <x:v>https://github.com/activepieces/activepieces</x:v>
      </x:c>
      <x:c r="Y17" s="83" t="str">
        <x:v>https://www.activepieces.com</x:v>
      </x:c>
      <x:c r="Z17" s="94" t="n">
        <x:v>46223</x:v>
      </x:c>
    </x:row>
    <x:row r="18" ht="15" hidden="0" customHeight="1">
      <x:c r="A18" s="76" t="n">
        <x:f>IF(U18="Yes",COUNTIFS($U$3:$U$55,"Yes",$T$3:$T$55,"&gt;"&amp;T18)+1,"")</x:f>
        <x:v>16</x:v>
      </x:c>
      <x:c r="B18" s="76" t="n">
        <x:f>IF(U18="Yes",COUNTIFS($D$3:$D$55,D18,$T$3:$T$55,"&gt;"&amp;T18)+1,"")</x:f>
        <x:v>3</x:v>
      </x:c>
      <x:c r="C18" s="83" t="str">
        <x:v>Penpot</x:v>
      </x:c>
      <x:c r="D18" s="83" t="str">
        <x:v>Creative &amp; Content</x:v>
      </x:c>
      <x:c r="E18" s="83" t="str">
        <x:v>Figma</x:v>
      </x:c>
      <x:c r="F18" s="83" t="str">
        <x:v>Collaborative interface design and prototyping.</x:v>
      </x:c>
      <x:c r="G18" s="83" t="str">
        <x:v>MPL-2.0</x:v>
      </x:c>
      <x:c r="H18" s="83" t="str">
        <x:v>Permissive open source</x:v>
      </x:c>
      <x:c r="I18" s="91" t="n">
        <x:v>56995</x:v>
      </x:c>
      <x:c r="J18" s="91" t="n">
        <x:v>3763</x:v>
      </x:c>
      <x:c r="K18" s="91" t="n">
        <x:v>737</x:v>
      </x:c>
      <x:c r="L18" s="92" t="n">
        <x:v>46223.70364583333</x:v>
      </x:c>
      <x:c r="M18" s="76" t="n">
        <x:f>MAX(0,INT('Scoring Method'!$G$20)-INT(L18))</x:f>
        <x:v>0</x:v>
      </x:c>
      <x:c r="N18" s="93" t="n">
        <x:f>ROUND(MIN(25,25*LN(I18+1)/LN(MAX($I$3:$I$55)+1)),1)</x:f>
        <x:v>23</x:v>
      </x:c>
      <x:c r="O18" s="93" t="n">
        <x:f>ROUND(MIN(15,15*LN(J18+1)/LN(MAX($J$3:$J$55)+1)),1)</x:f>
        <x:v>12.2</x:v>
      </x:c>
      <x:c r="P18" s="93" t="n">
        <x:f>IF(M18&lt;=7,20,IF(M18&lt;=30,18,IF(M18&lt;=90,14,IF(M18&lt;=180,10,IF(M18&lt;=365,5,0)))))</x:f>
        <x:v>20</x:v>
      </x:c>
      <x:c r="Q18" s="93" t="n">
        <x:v>14</x:v>
      </x:c>
      <x:c r="R18" s="93" t="n">
        <x:v>10</x:v>
      </x:c>
      <x:c r="S18" s="93" t="n">
        <x:f>IFERROR(VLOOKUP(H18,'Scoring Method'!$A$15:$B$20,2,FALSE),0)</x:f>
        <x:v>10</x:v>
      </x:c>
      <x:c r="T18" s="93" t="n">
        <x:f>ROUND(SUM(N18:S18),1)</x:f>
        <x:v>89.2</x:v>
      </x:c>
      <x:c r="U18" s="76" t="str">
        <x:f>IF(OR(H18="Source available",H18="Unlicensed / unclear"),"No","Yes")</x:f>
        <x:v>Yes</x:v>
      </x:c>
      <x:c r="V18" s="76" t="str">
        <x:f>IF(I18&gt;=20000,"Established",IF(I18&gt;=5000,"Mature",IF(I18&gt;=1000,"Growing","Early")))</x:f>
        <x:v>Established</x:v>
      </x:c>
      <x:c r="W18" s="83" t="str">
        <x:f>IF(U18&lt;&gt;"Yes","Watchlist",IF(T18&gt;=80,"Strong shortlist",IF(T18&gt;=68,"Pilot",IF(T18&gt;=55,"Evaluate","Monitor"))))</x:f>
        <x:v>Strong shortlist</x:v>
      </x:c>
      <x:c r="X18" s="83" t="str">
        <x:v>https://github.com/penpot/penpot</x:v>
      </x:c>
      <x:c r="Y18" s="83" t="str">
        <x:v>https://penpot.app</x:v>
      </x:c>
      <x:c r="Z18" s="94" t="n">
        <x:v>46223</x:v>
      </x:c>
    </x:row>
    <x:row r="19" ht="15" hidden="0" customHeight="1">
      <x:c r="A19" s="76" t="n">
        <x:f>IF(U19="Yes",COUNTIFS($U$3:$U$55,"Yes",$T$3:$T$55,"&gt;"&amp;T19)+1,"")</x:f>
        <x:v>17</x:v>
      </x:c>
      <x:c r="B19" s="76" t="n">
        <x:f>IF(U19="Yes",COUNTIFS($D$3:$D$55,D19,$T$3:$T$55,"&gt;"&amp;T19)+1,"")</x:f>
        <x:v>4</x:v>
      </x:c>
      <x:c r="C19" s="83" t="str">
        <x:v>Plausible Analytics</x:v>
      </x:c>
      <x:c r="D19" s="83" t="str">
        <x:v>Analytics &amp; Experimentation</x:v>
      </x:c>
      <x:c r="E19" s="83" t="str">
        <x:v>Google Analytics</x:v>
      </x:c>
      <x:c r="F19" s="83" t="str">
        <x:v>Privacy-focused web analytics.</x:v>
      </x:c>
      <x:c r="G19" s="83" t="str">
        <x:v>AGPL-3.0</x:v>
      </x:c>
      <x:c r="H19" s="83" t="str">
        <x:v>Copyleft open source</x:v>
      </x:c>
      <x:c r="I19" s="91" t="n">
        <x:v>27885</x:v>
      </x:c>
      <x:c r="J19" s="91" t="n">
        <x:v>1722</x:v>
      </x:c>
      <x:c r="K19" s="91" t="n">
        <x:v>71</x:v>
      </x:c>
      <x:c r="L19" s="92" t="n">
        <x:v>46223.567557870374</x:v>
      </x:c>
      <x:c r="M19" s="76" t="n">
        <x:f>MAX(0,INT('Scoring Method'!$G$20)-INT(L19))</x:f>
        <x:v>0</x:v>
      </x:c>
      <x:c r="N19" s="93" t="n">
        <x:f>ROUND(MIN(25,25*LN(I19+1)/LN(MAX($I$3:$I$55)+1)),1)</x:f>
        <x:v>21.5</x:v>
      </x:c>
      <x:c r="O19" s="93" t="n">
        <x:f>ROUND(MIN(15,15*LN(J19+1)/LN(MAX($J$3:$J$55)+1)),1)</x:f>
        <x:v>11</x:v>
      </x:c>
      <x:c r="P19" s="93" t="n">
        <x:f>IF(M19&lt;=7,20,IF(M19&lt;=30,18,IF(M19&lt;=90,14,IF(M19&lt;=180,10,IF(M19&lt;=365,5,0)))))</x:f>
        <x:v>20</x:v>
      </x:c>
      <x:c r="Q19" s="93" t="n">
        <x:v>14</x:v>
      </x:c>
      <x:c r="R19" s="93" t="n">
        <x:v>13</x:v>
      </x:c>
      <x:c r="S19" s="93" t="n">
        <x:f>IFERROR(VLOOKUP(H19,'Scoring Method'!$A$15:$B$20,2,FALSE),0)</x:f>
        <x:v>9</x:v>
      </x:c>
      <x:c r="T19" s="93" t="n">
        <x:f>ROUND(SUM(N19:S19),1)</x:f>
        <x:v>88.5</x:v>
      </x:c>
      <x:c r="U19" s="76" t="str">
        <x:f>IF(OR(H19="Source available",H19="Unlicensed / unclear"),"No","Yes")</x:f>
        <x:v>Yes</x:v>
      </x:c>
      <x:c r="V19" s="76" t="str">
        <x:f>IF(I19&gt;=20000,"Established",IF(I19&gt;=5000,"Mature",IF(I19&gt;=1000,"Growing","Early")))</x:f>
        <x:v>Established</x:v>
      </x:c>
      <x:c r="W19" s="83" t="str">
        <x:f>IF(U19&lt;&gt;"Yes","Watchlist",IF(T19&gt;=80,"Strong shortlist",IF(T19&gt;=68,"Pilot",IF(T19&gt;=55,"Evaluate","Monitor"))))</x:f>
        <x:v>Strong shortlist</x:v>
      </x:c>
      <x:c r="X19" s="83" t="str">
        <x:v>https://github.com/plausible/analytics</x:v>
      </x:c>
      <x:c r="Y19" s="83" t="str">
        <x:v>https://plausible.io</x:v>
      </x:c>
      <x:c r="Z19" s="94" t="n">
        <x:v>46223</x:v>
      </x:c>
    </x:row>
    <x:row r="20" ht="24" hidden="0" customHeight="1">
      <x:c r="A20" s="76" t="n">
        <x:f>IF(U20="Yes",COUNTIFS($U$3:$U$55,"Yes",$T$3:$T$55,"&gt;"&amp;T20)+1,"")</x:f>
        <x:v>18</x:v>
      </x:c>
      <x:c r="B20" s="76" t="n">
        <x:f>IF(U20="Yes",COUNTIFS($D$3:$D$55,D20,$T$3:$T$55,"&gt;"&amp;T20)+1,"")</x:f>
        <x:v>2</x:v>
      </x:c>
      <x:c r="C20" s="83" t="str">
        <x:v>Mautic</x:v>
      </x:c>
      <x:c r="D20" s="83" t="str">
        <x:v>Marketing Automation &amp; Email</x:v>
      </x:c>
      <x:c r="E20" s="83" t="str">
        <x:v>HubSpot Marketing Hub; Marketo</x:v>
      </x:c>
      <x:c r="F20" s="83" t="str">
        <x:v>Campaign automation, lead scoring, segments and email.</x:v>
      </x:c>
      <x:c r="G20" s="83" t="str">
        <x:v>GPL-3.0-or-later</x:v>
      </x:c>
      <x:c r="H20" s="83" t="str">
        <x:v>Copyleft open source</x:v>
      </x:c>
      <x:c r="I20" s="91" t="n">
        <x:v>10172</x:v>
      </x:c>
      <x:c r="J20" s="91" t="n">
        <x:v>3369</x:v>
      </x:c>
      <x:c r="K20" s="91" t="n">
        <x:v>214</x:v>
      </x:c>
      <x:c r="L20" s="92" t="n">
        <x:v>46223.659421296295</x:v>
      </x:c>
      <x:c r="M20" s="76" t="n">
        <x:f>MAX(0,INT('Scoring Method'!$G$20)-INT(L20))</x:f>
        <x:v>0</x:v>
      </x:c>
      <x:c r="N20" s="93" t="n">
        <x:f>ROUND(MIN(25,25*LN(I20+1)/LN(MAX($I$3:$I$55)+1)),1)</x:f>
        <x:v>19.4</x:v>
      </x:c>
      <x:c r="O20" s="93" t="n">
        <x:f>ROUND(MIN(15,15*LN(J20+1)/LN(MAX($J$3:$J$55)+1)),1)</x:f>
        <x:v>12</x:v>
      </x:c>
      <x:c r="P20" s="93" t="n">
        <x:f>IF(M20&lt;=7,20,IF(M20&lt;=30,18,IF(M20&lt;=90,14,IF(M20&lt;=180,10,IF(M20&lt;=365,5,0)))))</x:f>
        <x:v>20</x:v>
      </x:c>
      <x:c r="Q20" s="93" t="n">
        <x:v>13</x:v>
      </x:c>
      <x:c r="R20" s="93" t="n">
        <x:v>15</x:v>
      </x:c>
      <x:c r="S20" s="93" t="n">
        <x:f>IFERROR(VLOOKUP(H20,'Scoring Method'!$A$15:$B$20,2,FALSE),0)</x:f>
        <x:v>9</x:v>
      </x:c>
      <x:c r="T20" s="93" t="n">
        <x:f>ROUND(SUM(N20:S20),1)</x:f>
        <x:v>88.4</x:v>
      </x:c>
      <x:c r="U20" s="76" t="str">
        <x:f>IF(OR(H20="Source available",H20="Unlicensed / unclear"),"No","Yes")</x:f>
        <x:v>Yes</x:v>
      </x:c>
      <x:c r="V20" s="76" t="str">
        <x:f>IF(I20&gt;=20000,"Established",IF(I20&gt;=5000,"Mature",IF(I20&gt;=1000,"Growing","Early")))</x:f>
        <x:v>Mature</x:v>
      </x:c>
      <x:c r="W20" s="83" t="str">
        <x:f>IF(U20&lt;&gt;"Yes","Watchlist",IF(T20&gt;=80,"Strong shortlist",IF(T20&gt;=68,"Pilot",IF(T20&gt;=55,"Evaluate","Monitor"))))</x:f>
        <x:v>Strong shortlist</x:v>
      </x:c>
      <x:c r="X20" s="83" t="str">
        <x:v>https://github.com/mautic/mautic</x:v>
      </x:c>
      <x:c r="Y20" s="83" t="str">
        <x:v>https://www.mautic.org</x:v>
      </x:c>
      <x:c r="Z20" s="94" t="n">
        <x:v>46223</x:v>
      </x:c>
    </x:row>
    <x:row r="21" ht="15" hidden="0" customHeight="1">
      <x:c r="A21" s="76" t="n">
        <x:f>IF(U21="Yes",COUNTIFS($U$3:$U$55,"Yes",$T$3:$T$55,"&gt;"&amp;T21)+1,"")</x:f>
        <x:v>18</x:v>
      </x:c>
      <x:c r="B21" s="76" t="n">
        <x:f>IF(U21="Yes",COUNTIFS($D$3:$D$55,D21,$T$3:$T$55,"&gt;"&amp;T21)+1,"")</x:f>
        <x:v>2</x:v>
      </x:c>
      <x:c r="C21" s="83" t="str">
        <x:v>Node-RED</x:v>
      </x:c>
      <x:c r="D21" s="83" t="str">
        <x:v>Workflow Automation</x:v>
      </x:c>
      <x:c r="E21" s="83" t="str">
        <x:v>Zapier; Make</x:v>
      </x:c>
      <x:c r="F21" s="83" t="str">
        <x:v>Flow-based automation with a large node ecosystem.</x:v>
      </x:c>
      <x:c r="G21" s="83" t="str">
        <x:v>Apache-2.0</x:v>
      </x:c>
      <x:c r="H21" s="83" t="str">
        <x:v>Permissive open source</x:v>
      </x:c>
      <x:c r="I21" s="91" t="n">
        <x:v>23431</x:v>
      </x:c>
      <x:c r="J21" s="91" t="n">
        <x:v>3873</x:v>
      </x:c>
      <x:c r="K21" s="91" t="n">
        <x:v>315</x:v>
      </x:c>
      <x:c r="L21" s="92" t="n">
        <x:v>46216.37693287037</x:v>
      </x:c>
      <x:c r="M21" s="76" t="n">
        <x:f>MAX(0,INT('Scoring Method'!$G$20)-INT(L21))</x:f>
        <x:v>7</x:v>
      </x:c>
      <x:c r="N21" s="93" t="n">
        <x:f>ROUND(MIN(25,25*LN(I21+1)/LN(MAX($I$3:$I$55)+1)),1)</x:f>
        <x:v>21.1</x:v>
      </x:c>
      <x:c r="O21" s="93" t="n">
        <x:f>ROUND(MIN(15,15*LN(J21+1)/LN(MAX($J$3:$J$55)+1)),1)</x:f>
        <x:v>12.3</x:v>
      </x:c>
      <x:c r="P21" s="93" t="n">
        <x:f>IF(M21&lt;=7,20,IF(M21&lt;=30,18,IF(M21&lt;=90,14,IF(M21&lt;=180,10,IF(M21&lt;=365,5,0)))))</x:f>
        <x:v>20</x:v>
      </x:c>
      <x:c r="Q21" s="93" t="n">
        <x:v>15</x:v>
      </x:c>
      <x:c r="R21" s="93" t="n">
        <x:v>10</x:v>
      </x:c>
      <x:c r="S21" s="93" t="n">
        <x:f>IFERROR(VLOOKUP(H21,'Scoring Method'!$A$15:$B$20,2,FALSE),0)</x:f>
        <x:v>10</x:v>
      </x:c>
      <x:c r="T21" s="93" t="n">
        <x:f>ROUND(SUM(N21:S21),1)</x:f>
        <x:v>88.4</x:v>
      </x:c>
      <x:c r="U21" s="76" t="str">
        <x:f>IF(OR(H21="Source available",H21="Unlicensed / unclear"),"No","Yes")</x:f>
        <x:v>Yes</x:v>
      </x:c>
      <x:c r="V21" s="76" t="str">
        <x:f>IF(I21&gt;=20000,"Established",IF(I21&gt;=5000,"Mature",IF(I21&gt;=1000,"Growing","Early")))</x:f>
        <x:v>Established</x:v>
      </x:c>
      <x:c r="W21" s="83" t="str">
        <x:f>IF(U21&lt;&gt;"Yes","Watchlist",IF(T21&gt;=80,"Strong shortlist",IF(T21&gt;=68,"Pilot",IF(T21&gt;=55,"Evaluate","Monitor"))))</x:f>
        <x:v>Strong shortlist</x:v>
      </x:c>
      <x:c r="X21" s="83" t="str">
        <x:v>https://github.com/node-red/node-red</x:v>
      </x:c>
      <x:c r="Y21" s="83" t="str">
        <x:v>http://nodered.org</x:v>
      </x:c>
      <x:c r="Z21" s="94" t="n">
        <x:v>46223</x:v>
      </x:c>
    </x:row>
    <x:row r="22" ht="15" hidden="0" customHeight="1">
      <x:c r="A22" s="76" t="n">
        <x:f>IF(U22="Yes",COUNTIFS($U$3:$U$55,"Yes",$T$3:$T$55,"&gt;"&amp;T22)+1,"")</x:f>
        <x:v>20</x:v>
      </x:c>
      <x:c r="B22" s="76" t="n">
        <x:f>IF(U22="Yes",COUNTIFS($D$3:$D$55,D22,$T$3:$T$55,"&gt;"&amp;T22)+1,"")</x:f>
        <x:v>2</x:v>
      </x:c>
      <x:c r="C22" s="83" t="str">
        <x:v>Krayin CRM</x:v>
      </x:c>
      <x:c r="D22" s="83" t="str">
        <x:v>CRM &amp; Revenue Operations</x:v>
      </x:c>
      <x:c r="E22" s="83" t="str">
        <x:v>HubSpot CRM; Pipedrive</x:v>
      </x:c>
      <x:c r="F22" s="83" t="str">
        <x:v>Laravel CRM with leads, activities, products and quotes.</x:v>
      </x:c>
      <x:c r="G22" s="83" t="str">
        <x:v>MIT</x:v>
      </x:c>
      <x:c r="H22" s="83" t="str">
        <x:v>Permissive open source</x:v>
      </x:c>
      <x:c r="I22" s="91" t="n">
        <x:v>23418</x:v>
      </x:c>
      <x:c r="J22" s="91" t="n">
        <x:v>1532</x:v>
      </x:c>
      <x:c r="K22" s="91" t="n">
        <x:v>128</x:v>
      </x:c>
      <x:c r="L22" s="92" t="n">
        <x:v>46220.5059837963</x:v>
      </x:c>
      <x:c r="M22" s="76" t="n">
        <x:f>MAX(0,INT('Scoring Method'!$G$20)-INT(L22))</x:f>
        <x:v>3</x:v>
      </x:c>
      <x:c r="N22" s="93" t="n">
        <x:f>ROUND(MIN(25,25*LN(I22+1)/LN(MAX($I$3:$I$55)+1)),1)</x:f>
        <x:v>21.1</x:v>
      </x:c>
      <x:c r="O22" s="93" t="n">
        <x:f>ROUND(MIN(15,15*LN(J22+1)/LN(MAX($J$3:$J$55)+1)),1)</x:f>
        <x:v>10.9</x:v>
      </x:c>
      <x:c r="P22" s="93" t="n">
        <x:f>IF(M22&lt;=7,20,IF(M22&lt;=30,18,IF(M22&lt;=90,14,IF(M22&lt;=180,10,IF(M22&lt;=365,5,0)))))</x:f>
        <x:v>20</x:v>
      </x:c>
      <x:c r="Q22" s="93" t="n">
        <x:v>12</x:v>
      </x:c>
      <x:c r="R22" s="93" t="n">
        <x:v>14</x:v>
      </x:c>
      <x:c r="S22" s="93" t="n">
        <x:f>IFERROR(VLOOKUP(H22,'Scoring Method'!$A$15:$B$20,2,FALSE),0)</x:f>
        <x:v>10</x:v>
      </x:c>
      <x:c r="T22" s="93" t="n">
        <x:f>ROUND(SUM(N22:S22),1)</x:f>
        <x:v>88</x:v>
      </x:c>
      <x:c r="U22" s="76" t="str">
        <x:f>IF(OR(H22="Source available",H22="Unlicensed / unclear"),"No","Yes")</x:f>
        <x:v>Yes</x:v>
      </x:c>
      <x:c r="V22" s="76" t="str">
        <x:f>IF(I22&gt;=20000,"Established",IF(I22&gt;=5000,"Mature",IF(I22&gt;=1000,"Growing","Early")))</x:f>
        <x:v>Established</x:v>
      </x:c>
      <x:c r="W22" s="83" t="str">
        <x:f>IF(U22&lt;&gt;"Yes","Watchlist",IF(T22&gt;=80,"Strong shortlist",IF(T22&gt;=68,"Pilot",IF(T22&gt;=55,"Evaluate","Monitor"))))</x:f>
        <x:v>Strong shortlist</x:v>
      </x:c>
      <x:c r="X22" s="83" t="str">
        <x:v>https://github.com/krayin/laravel-crm</x:v>
      </x:c>
      <x:c r="Y22" s="83" t="str">
        <x:v>https://krayincrm.com</x:v>
      </x:c>
      <x:c r="Z22" s="94" t="n">
        <x:v>46223</x:v>
      </x:c>
    </x:row>
    <x:row r="23" ht="15" hidden="0" customHeight="1">
      <x:c r="A23" s="76" t="n">
        <x:f>IF(U23="Yes",COUNTIFS($U$3:$U$55,"Yes",$T$3:$T$55,"&gt;"&amp;T23)+1,"")</x:f>
        <x:v>21</x:v>
      </x:c>
      <x:c r="B23" s="76" t="n">
        <x:f>IF(U23="Yes",COUNTIFS($D$3:$D$55,D23,$T$3:$T$55,"&gt;"&amp;T23)+1,"")</x:f>
        <x:v>3</x:v>
      </x:c>
      <x:c r="C23" s="83" t="str">
        <x:v>CrewAI</x:v>
      </x:c>
      <x:c r="D23" s="83" t="str">
        <x:v>Agent &amp; GTM Developer Tools</x:v>
      </x:c>
      <x:c r="E23" s="83" t="str">
        <x:v>Proprietary multi-agent platforms</x:v>
      </x:c>
      <x:c r="F23" s="83" t="str">
        <x:v>Framework for coordinated AI agent workflows.</x:v>
      </x:c>
      <x:c r="G23" s="83" t="str">
        <x:v>MIT</x:v>
      </x:c>
      <x:c r="H23" s="83" t="str">
        <x:v>Permissive open source</x:v>
      </x:c>
      <x:c r="I23" s="91" t="n">
        <x:v>55846</x:v>
      </x:c>
      <x:c r="J23" s="91" t="n">
        <x:v>7889</x:v>
      </x:c>
      <x:c r="K23" s="91" t="n">
        <x:v>655</x:v>
      </x:c>
      <x:c r="L23" s="92" t="n">
        <x:v>46223.68986111111</x:v>
      </x:c>
      <x:c r="M23" s="76" t="n">
        <x:f>MAX(0,INT('Scoring Method'!$G$20)-INT(L23))</x:f>
        <x:v>0</x:v>
      </x:c>
      <x:c r="N23" s="93" t="n">
        <x:f>ROUND(MIN(25,25*LN(I23+1)/LN(MAX($I$3:$I$55)+1)),1)</x:f>
        <x:v>22.9</x:v>
      </x:c>
      <x:c r="O23" s="93" t="n">
        <x:f>ROUND(MIN(15,15*LN(J23+1)/LN(MAX($J$3:$J$55)+1)),1)</x:f>
        <x:v>13.3</x:v>
      </x:c>
      <x:c r="P23" s="93" t="n">
        <x:f>IF(M23&lt;=7,20,IF(M23&lt;=30,18,IF(M23&lt;=90,14,IF(M23&lt;=180,10,IF(M23&lt;=365,5,0)))))</x:f>
        <x:v>20</x:v>
      </x:c>
      <x:c r="Q23" s="93" t="n">
        <x:v>12</x:v>
      </x:c>
      <x:c r="R23" s="93" t="n">
        <x:v>9</x:v>
      </x:c>
      <x:c r="S23" s="93" t="n">
        <x:f>IFERROR(VLOOKUP(H23,'Scoring Method'!$A$15:$B$20,2,FALSE),0)</x:f>
        <x:v>10</x:v>
      </x:c>
      <x:c r="T23" s="93" t="n">
        <x:f>ROUND(SUM(N23:S23),1)</x:f>
        <x:v>87.2</x:v>
      </x:c>
      <x:c r="U23" s="76" t="str">
        <x:f>IF(OR(H23="Source available",H23="Unlicensed / unclear"),"No","Yes")</x:f>
        <x:v>Yes</x:v>
      </x:c>
      <x:c r="V23" s="76" t="str">
        <x:f>IF(I23&gt;=20000,"Established",IF(I23&gt;=5000,"Mature",IF(I23&gt;=1000,"Growing","Early")))</x:f>
        <x:v>Established</x:v>
      </x:c>
      <x:c r="W23" s="83" t="str">
        <x:f>IF(U23&lt;&gt;"Yes","Watchlist",IF(T23&gt;=80,"Strong shortlist",IF(T23&gt;=68,"Pilot",IF(T23&gt;=55,"Evaluate","Monitor"))))</x:f>
        <x:v>Strong shortlist</x:v>
      </x:c>
      <x:c r="X23" s="83" t="str">
        <x:v>https://github.com/crewAIInc/crewAI</x:v>
      </x:c>
      <x:c r="Y23" s="83" t="str">
        <x:v>https://crewai.com</x:v>
      </x:c>
      <x:c r="Z23" s="94" t="n">
        <x:v>46223</x:v>
      </x:c>
    </x:row>
    <x:row r="24" ht="15" hidden="0" customHeight="1">
      <x:c r="A24" s="76" t="n">
        <x:f>IF(U24="Yes",COUNTIFS($U$3:$U$55,"Yes",$T$3:$T$55,"&gt;"&amp;T24)+1,"")</x:f>
        <x:v>22</x:v>
      </x:c>
      <x:c r="B24" s="76" t="n">
        <x:f>IF(U24="Yes",COUNTIFS($D$3:$D$55,D24,$T$3:$T$55,"&gt;"&amp;T24)+1,"")</x:f>
        <x:v>4</x:v>
      </x:c>
      <x:c r="C24" s="83" t="str">
        <x:v>LlamaIndex</x:v>
      </x:c>
      <x:c r="D24" s="83" t="str">
        <x:v>Agent &amp; GTM Developer Tools</x:v>
      </x:c>
      <x:c r="E24" s="83" t="str">
        <x:v>Proprietary retrieval and agent SDKs</x:v>
      </x:c>
      <x:c r="F24" s="83" t="str">
        <x:v>Data and retrieval framework for agent applications.</x:v>
      </x:c>
      <x:c r="G24" s="83" t="str">
        <x:v>MIT</x:v>
      </x:c>
      <x:c r="H24" s="83" t="str">
        <x:v>Permissive open source</x:v>
      </x:c>
      <x:c r="I24" s="91" t="n">
        <x:v>50962</x:v>
      </x:c>
      <x:c r="J24" s="91" t="n">
        <x:v>7783</x:v>
      </x:c>
      <x:c r="K24" s="91" t="n">
        <x:v>570</x:v>
      </x:c>
      <x:c r="L24" s="92" t="n">
        <x:v>46223.661099537036</x:v>
      </x:c>
      <x:c r="M24" s="76" t="n">
        <x:f>MAX(0,INT('Scoring Method'!$G$20)-INT(L24))</x:f>
        <x:v>0</x:v>
      </x:c>
      <x:c r="N24" s="93" t="n">
        <x:f>ROUND(MIN(25,25*LN(I24+1)/LN(MAX($I$3:$I$55)+1)),1)</x:f>
        <x:v>22.7</x:v>
      </x:c>
      <x:c r="O24" s="93" t="n">
        <x:f>ROUND(MIN(15,15*LN(J24+1)/LN(MAX($J$3:$J$55)+1)),1)</x:f>
        <x:v>13.3</x:v>
      </x:c>
      <x:c r="P24" s="93" t="n">
        <x:f>IF(M24&lt;=7,20,IF(M24&lt;=30,18,IF(M24&lt;=90,14,IF(M24&lt;=180,10,IF(M24&lt;=365,5,0)))))</x:f>
        <x:v>20</x:v>
      </x:c>
      <x:c r="Q24" s="93" t="n">
        <x:v>13</x:v>
      </x:c>
      <x:c r="R24" s="93" t="n">
        <x:v>8</x:v>
      </x:c>
      <x:c r="S24" s="93" t="n">
        <x:f>IFERROR(VLOOKUP(H24,'Scoring Method'!$A$15:$B$20,2,FALSE),0)</x:f>
        <x:v>10</x:v>
      </x:c>
      <x:c r="T24" s="93" t="n">
        <x:f>ROUND(SUM(N24:S24),1)</x:f>
        <x:v>87</x:v>
      </x:c>
      <x:c r="U24" s="76" t="str">
        <x:f>IF(OR(H24="Source available",H24="Unlicensed / unclear"),"No","Yes")</x:f>
        <x:v>Yes</x:v>
      </x:c>
      <x:c r="V24" s="76" t="str">
        <x:f>IF(I24&gt;=20000,"Established",IF(I24&gt;=5000,"Mature",IF(I24&gt;=1000,"Growing","Early")))</x:f>
        <x:v>Established</x:v>
      </x:c>
      <x:c r="W24" s="83" t="str">
        <x:f>IF(U24&lt;&gt;"Yes","Watchlist",IF(T24&gt;=80,"Strong shortlist",IF(T24&gt;=68,"Pilot",IF(T24&gt;=55,"Evaluate","Monitor"))))</x:f>
        <x:v>Strong shortlist</x:v>
      </x:c>
      <x:c r="X24" s="83" t="str">
        <x:v>https://github.com/run-llama/llama_index</x:v>
      </x:c>
      <x:c r="Y24" s="83" t="str">
        <x:v>https://developers.llamaindex.ai</x:v>
      </x:c>
      <x:c r="Z24" s="94" t="n">
        <x:v>46223</x:v>
      </x:c>
    </x:row>
    <x:row r="25" ht="15" hidden="0" customHeight="1">
      <x:c r="A25" s="76" t="n">
        <x:f>IF(U25="Yes",COUNTIFS($U$3:$U$55,"Yes",$T$3:$T$55,"&gt;"&amp;T25)+1,"")</x:f>
        <x:v>22</x:v>
      </x:c>
      <x:c r="B25" s="76" t="n">
        <x:f>IF(U25="Yes",COUNTIFS($D$3:$D$55,D25,$T$3:$T$55,"&gt;"&amp;T25)+1,"")</x:f>
        <x:v>4</x:v>
      </x:c>
      <x:c r="C25" s="83" t="str">
        <x:v>Slidev</x:v>
      </x:c>
      <x:c r="D25" s="83" t="str">
        <x:v>Creative &amp; Content</x:v>
      </x:c>
      <x:c r="E25" s="83" t="str">
        <x:v>Gamma; Pitch</x:v>
      </x:c>
      <x:c r="F25" s="83" t="str">
        <x:v>Developer-focused slide decks from Markdown.</x:v>
      </x:c>
      <x:c r="G25" s="83" t="str">
        <x:v>MIT</x:v>
      </x:c>
      <x:c r="H25" s="83" t="str">
        <x:v>Permissive open source</x:v>
      </x:c>
      <x:c r="I25" s="91" t="n">
        <x:v>47754</x:v>
      </x:c>
      <x:c r="J25" s="91" t="n">
        <x:v>2127</x:v>
      </x:c>
      <x:c r="K25" s="91" t="n">
        <x:v>211</x:v>
      </x:c>
      <x:c r="L25" s="92" t="n">
        <x:v>46217.130949074075</x:v>
      </x:c>
      <x:c r="M25" s="76" t="n">
        <x:f>MAX(0,INT('Scoring Method'!$G$20)-INT(L25))</x:f>
        <x:v>6</x:v>
      </x:c>
      <x:c r="N25" s="93" t="n">
        <x:f>ROUND(MIN(25,25*LN(I25+1)/LN(MAX($I$3:$I$55)+1)),1)</x:f>
        <x:v>22.6</x:v>
      </x:c>
      <x:c r="O25" s="93" t="n">
        <x:f>ROUND(MIN(15,15*LN(J25+1)/LN(MAX($J$3:$J$55)+1)),1)</x:f>
        <x:v>11.4</x:v>
      </x:c>
      <x:c r="P25" s="93" t="n">
        <x:f>IF(M25&lt;=7,20,IF(M25&lt;=30,18,IF(M25&lt;=90,14,IF(M25&lt;=180,10,IF(M25&lt;=365,5,0)))))</x:f>
        <x:v>20</x:v>
      </x:c>
      <x:c r="Q25" s="93" t="n">
        <x:v>14</x:v>
      </x:c>
      <x:c r="R25" s="93" t="n">
        <x:v>9</x:v>
      </x:c>
      <x:c r="S25" s="93" t="n">
        <x:f>IFERROR(VLOOKUP(H25,'Scoring Method'!$A$15:$B$20,2,FALSE),0)</x:f>
        <x:v>10</x:v>
      </x:c>
      <x:c r="T25" s="93" t="n">
        <x:f>ROUND(SUM(N25:S25),1)</x:f>
        <x:v>87</x:v>
      </x:c>
      <x:c r="U25" s="76" t="str">
        <x:f>IF(OR(H25="Source available",H25="Unlicensed / unclear"),"No","Yes")</x:f>
        <x:v>Yes</x:v>
      </x:c>
      <x:c r="V25" s="76" t="str">
        <x:f>IF(I25&gt;=20000,"Established",IF(I25&gt;=5000,"Mature",IF(I25&gt;=1000,"Growing","Early")))</x:f>
        <x:v>Established</x:v>
      </x:c>
      <x:c r="W25" s="83" t="str">
        <x:f>IF(U25&lt;&gt;"Yes","Watchlist",IF(T25&gt;=80,"Strong shortlist",IF(T25&gt;=68,"Pilot",IF(T25&gt;=55,"Evaluate","Monitor"))))</x:f>
        <x:v>Strong shortlist</x:v>
      </x:c>
      <x:c r="X25" s="83" t="str">
        <x:v>https://github.com/slidevjs/slidev</x:v>
      </x:c>
      <x:c r="Y25" s="83" t="str">
        <x:v>https://sli.dev</x:v>
      </x:c>
      <x:c r="Z25" s="94" t="n">
        <x:v>46223</x:v>
      </x:c>
    </x:row>
    <x:row r="26" ht="15" hidden="0" customHeight="1">
      <x:c r="A26" s="76" t="n">
        <x:f>IF(U26="Yes",COUNTIFS($U$3:$U$55,"Yes",$T$3:$T$55,"&gt;"&amp;T26)+1,"")</x:f>
        <x:v>24</x:v>
      </x:c>
      <x:c r="B26" s="76" t="n">
        <x:f>IF(U26="Yes",COUNTIFS($D$3:$D$55,D26,$T$3:$T$55,"&gt;"&amp;T26)+1,"")</x:f>
        <x:v>2</x:v>
      </x:c>
      <x:c r="C26" s="83" t="str">
        <x:v>Zammad</x:v>
      </x:c>
      <x:c r="D26" s="83" t="str">
        <x:v>Customer Support &amp; Success</x:v>
      </x:c>
      <x:c r="E26" s="83" t="str">
        <x:v>Zendesk; Freshdesk</x:v>
      </x:c>
      <x:c r="F26" s="83" t="str">
        <x:v>Full help desk with email, chat and social channels.</x:v>
      </x:c>
      <x:c r="G26" s="83" t="str">
        <x:v>AGPL-3.0</x:v>
      </x:c>
      <x:c r="H26" s="83" t="str">
        <x:v>Copyleft open source</x:v>
      </x:c>
      <x:c r="I26" s="91" t="n">
        <x:v>5767</x:v>
      </x:c>
      <x:c r="J26" s="91" t="n">
        <x:v>1021</x:v>
      </x:c>
      <x:c r="K26" s="91" t="n">
        <x:v>450</x:v>
      </x:c>
      <x:c r="L26" s="92" t="n">
        <x:v>46223.65877314815</x:v>
      </x:c>
      <x:c r="M26" s="76" t="n">
        <x:f>MAX(0,INT('Scoring Method'!$G$20)-INT(L26))</x:f>
        <x:v>0</x:v>
      </x:c>
      <x:c r="N26" s="93" t="n">
        <x:f>ROUND(MIN(25,25*LN(I26+1)/LN(MAX($I$3:$I$55)+1)),1)</x:f>
        <x:v>18.2</x:v>
      </x:c>
      <x:c r="O26" s="93" t="n">
        <x:f>ROUND(MIN(15,15*LN(J26+1)/LN(MAX($J$3:$J$55)+1)),1)</x:f>
        <x:v>10.3</x:v>
      </x:c>
      <x:c r="P26" s="93" t="n">
        <x:f>IF(M26&lt;=7,20,IF(M26&lt;=30,18,IF(M26&lt;=90,14,IF(M26&lt;=180,10,IF(M26&lt;=365,5,0)))))</x:f>
        <x:v>20</x:v>
      </x:c>
      <x:c r="Q26" s="93" t="n">
        <x:v>14</x:v>
      </x:c>
      <x:c r="R26" s="93" t="n">
        <x:v>15</x:v>
      </x:c>
      <x:c r="S26" s="93" t="n">
        <x:f>IFERROR(VLOOKUP(H26,'Scoring Method'!$A$15:$B$20,2,FALSE),0)</x:f>
        <x:v>9</x:v>
      </x:c>
      <x:c r="T26" s="93" t="n">
        <x:f>ROUND(SUM(N26:S26),1)</x:f>
        <x:v>86.5</x:v>
      </x:c>
      <x:c r="U26" s="76" t="str">
        <x:f>IF(OR(H26="Source available",H26="Unlicensed / unclear"),"No","Yes")</x:f>
        <x:v>Yes</x:v>
      </x:c>
      <x:c r="V26" s="76" t="str">
        <x:f>IF(I26&gt;=20000,"Established",IF(I26&gt;=5000,"Mature",IF(I26&gt;=1000,"Growing","Early")))</x:f>
        <x:v>Mature</x:v>
      </x:c>
      <x:c r="W26" s="83" t="str">
        <x:f>IF(U26&lt;&gt;"Yes","Watchlist",IF(T26&gt;=80,"Strong shortlist",IF(T26&gt;=68,"Pilot",IF(T26&gt;=55,"Evaluate","Monitor"))))</x:f>
        <x:v>Strong shortlist</x:v>
      </x:c>
      <x:c r="X26" s="83" t="str">
        <x:v>https://github.com/zammad/zammad</x:v>
      </x:c>
      <x:c r="Y26" s="83" t="str">
        <x:v>https://zammad.org</x:v>
      </x:c>
      <x:c r="Z26" s="94" t="n">
        <x:v>46223</x:v>
      </x:c>
    </x:row>
    <x:row r="27" ht="15" hidden="0" customHeight="1">
      <x:c r="A27" s="76" t="n">
        <x:f>IF(U27="Yes",COUNTIFS($U$3:$U$55,"Yes",$T$3:$T$55,"&gt;"&amp;T27)+1,"")</x:f>
        <x:v>25</x:v>
      </x:c>
      <x:c r="B27" s="76" t="n">
        <x:f>IF(U27="Yes",COUNTIFS($D$3:$D$55,D27,$T$3:$T$55,"&gt;"&amp;T27)+1,"")</x:f>
        <x:v>2</x:v>
      </x:c>
      <x:c r="C27" s="83" t="str">
        <x:v>Formbricks</x:v>
      </x:c>
      <x:c r="D27" s="83" t="str">
        <x:v>Forms, Surveys &amp; Conversion</x:v>
      </x:c>
      <x:c r="E27" s="83" t="str">
        <x:v>Typeform; Delighted</x:v>
      </x:c>
      <x:c r="F27" s="83" t="str">
        <x:v>Surveys and in-product feedback.</x:v>
      </x:c>
      <x:c r="G27" s="83" t="str">
        <x:v>AGPL-3.0 core + enterprise files</x:v>
      </x:c>
      <x:c r="H27" s="83" t="str">
        <x:v>Open core (copyleft)</x:v>
      </x:c>
      <x:c r="I27" s="91" t="n">
        <x:v>12583</x:v>
      </x:c>
      <x:c r="J27" s="91" t="n">
        <x:v>2404</x:v>
      </x:c>
      <x:c r="K27" s="91" t="n">
        <x:v>209</x:v>
      </x:c>
      <x:c r="L27" s="92" t="n">
        <x:v>46223.5737037037</x:v>
      </x:c>
      <x:c r="M27" s="76" t="n">
        <x:f>MAX(0,INT('Scoring Method'!$G$20)-INT(L27))</x:f>
        <x:v>0</x:v>
      </x:c>
      <x:c r="N27" s="93" t="n">
        <x:f>ROUND(MIN(25,25*LN(I27+1)/LN(MAX($I$3:$I$55)+1)),1)</x:f>
        <x:v>19.8</x:v>
      </x:c>
      <x:c r="O27" s="93" t="n">
        <x:f>ROUND(MIN(15,15*LN(J27+1)/LN(MAX($J$3:$J$55)+1)),1)</x:f>
        <x:v>11.5</x:v>
      </x:c>
      <x:c r="P27" s="93" t="n">
        <x:f>IF(M27&lt;=7,20,IF(M27&lt;=30,18,IF(M27&lt;=90,14,IF(M27&lt;=180,10,IF(M27&lt;=365,5,0)))))</x:f>
        <x:v>20</x:v>
      </x:c>
      <x:c r="Q27" s="93" t="n">
        <x:v>14</x:v>
      </x:c>
      <x:c r="R27" s="93" t="n">
        <x:v>14</x:v>
      </x:c>
      <x:c r="S27" s="93" t="n">
        <x:f>IFERROR(VLOOKUP(H27,'Scoring Method'!$A$15:$B$20,2,FALSE),0)</x:f>
        <x:v>7</x:v>
      </x:c>
      <x:c r="T27" s="93" t="n">
        <x:f>ROUND(SUM(N27:S27),1)</x:f>
        <x:v>86.3</x:v>
      </x:c>
      <x:c r="U27" s="76" t="str">
        <x:f>IF(OR(H27="Source available",H27="Unlicensed / unclear"),"No","Yes")</x:f>
        <x:v>Yes</x:v>
      </x:c>
      <x:c r="V27" s="76" t="str">
        <x:f>IF(I27&gt;=20000,"Established",IF(I27&gt;=5000,"Mature",IF(I27&gt;=1000,"Growing","Early")))</x:f>
        <x:v>Mature</x:v>
      </x:c>
      <x:c r="W27" s="83" t="str">
        <x:f>IF(U27&lt;&gt;"Yes","Watchlist",IF(T27&gt;=80,"Strong shortlist",IF(T27&gt;=68,"Pilot",IF(T27&gt;=55,"Evaluate","Monitor"))))</x:f>
        <x:v>Strong shortlist</x:v>
      </x:c>
      <x:c r="X27" s="83" t="str">
        <x:v>https://github.com/formbricks/formbricks</x:v>
      </x:c>
      <x:c r="Y27" s="83" t="str">
        <x:v>https://formbricks.com</x:v>
      </x:c>
      <x:c r="Z27" s="94" t="n">
        <x:v>46223</x:v>
      </x:c>
    </x:row>
    <x:row r="28" ht="15" hidden="0" customHeight="1">
      <x:c r="A28" s="76" t="n">
        <x:f>IF(U28="Yes",COUNTIFS($U$3:$U$55,"Yes",$T$3:$T$55,"&gt;"&amp;T28)+1,"")</x:f>
        <x:v>26</x:v>
      </x:c>
      <x:c r="B28" s="76" t="n">
        <x:f>IF(U28="Yes",COUNTIFS($D$3:$D$55,D28,$T$3:$T$55,"&gt;"&amp;T28)+1,"")</x:f>
        <x:v>2</x:v>
      </x:c>
      <x:c r="C28" s="83" t="str">
        <x:v>Crawlee</x:v>
      </x:c>
      <x:c r="D28" s="83" t="str">
        <x:v>Prospecting &amp; Web Data</x:v>
      </x:c>
      <x:c r="E28" s="83" t="str">
        <x:v>Apify; Bright Data collectors</x:v>
      </x:c>
      <x:c r="F28" s="83" t="str">
        <x:v>Web scraping and browser automation library.</x:v>
      </x:c>
      <x:c r="G28" s="83" t="str">
        <x:v>Apache-2.0</x:v>
      </x:c>
      <x:c r="H28" s="83" t="str">
        <x:v>Permissive open source</x:v>
      </x:c>
      <x:c r="I28" s="91" t="n">
        <x:v>24824</x:v>
      </x:c>
      <x:c r="J28" s="91" t="n">
        <x:v>1565</x:v>
      </x:c>
      <x:c r="K28" s="91" t="n">
        <x:v>171</x:v>
      </x:c>
      <x:c r="L28" s="92" t="n">
        <x:v>46223.679293981484</x:v>
      </x:c>
      <x:c r="M28" s="76" t="n">
        <x:f>MAX(0,INT('Scoring Method'!$G$20)-INT(L28))</x:f>
        <x:v>0</x:v>
      </x:c>
      <x:c r="N28" s="93" t="n">
        <x:f>ROUND(MIN(25,25*LN(I28+1)/LN(MAX($I$3:$I$55)+1)),1)</x:f>
        <x:v>21.2</x:v>
      </x:c>
      <x:c r="O28" s="93" t="n">
        <x:f>ROUND(MIN(15,15*LN(J28+1)/LN(MAX($J$3:$J$55)+1)),1)</x:f>
        <x:v>10.9</x:v>
      </x:c>
      <x:c r="P28" s="93" t="n">
        <x:f>IF(M28&lt;=7,20,IF(M28&lt;=30,18,IF(M28&lt;=90,14,IF(M28&lt;=180,10,IF(M28&lt;=365,5,0)))))</x:f>
        <x:v>20</x:v>
      </x:c>
      <x:c r="Q28" s="93" t="n">
        <x:v>13</x:v>
      </x:c>
      <x:c r="R28" s="93" t="n">
        <x:v>11</x:v>
      </x:c>
      <x:c r="S28" s="93" t="n">
        <x:f>IFERROR(VLOOKUP(H28,'Scoring Method'!$A$15:$B$20,2,FALSE),0)</x:f>
        <x:v>10</x:v>
      </x:c>
      <x:c r="T28" s="93" t="n">
        <x:f>ROUND(SUM(N28:S28),1)</x:f>
        <x:v>86.1</x:v>
      </x:c>
      <x:c r="U28" s="76" t="str">
        <x:f>IF(OR(H28="Source available",H28="Unlicensed / unclear"),"No","Yes")</x:f>
        <x:v>Yes</x:v>
      </x:c>
      <x:c r="V28" s="76" t="str">
        <x:f>IF(I28&gt;=20000,"Established",IF(I28&gt;=5000,"Mature",IF(I28&gt;=1000,"Growing","Early")))</x:f>
        <x:v>Established</x:v>
      </x:c>
      <x:c r="W28" s="83" t="str">
        <x:f>IF(U28&lt;&gt;"Yes","Watchlist",IF(T28&gt;=80,"Strong shortlist",IF(T28&gt;=68,"Pilot",IF(T28&gt;=55,"Evaluate","Monitor"))))</x:f>
        <x:v>Strong shortlist</x:v>
      </x:c>
      <x:c r="X28" s="83" t="str">
        <x:v>https://github.com/apify/crawlee</x:v>
      </x:c>
      <x:c r="Y28" s="83" t="str">
        <x:v>https://crawlee.dev</x:v>
      </x:c>
      <x:c r="Z28" s="94" t="n">
        <x:v>46223</x:v>
      </x:c>
    </x:row>
    <x:row r="29" ht="24" hidden="0" customHeight="1">
      <x:c r="A29" s="76" t="n">
        <x:f>IF(U29="Yes",COUNTIFS($U$3:$U$55,"Yes",$T$3:$T$55,"&gt;"&amp;T29)+1,"")</x:f>
        <x:v>27</x:v>
      </x:c>
      <x:c r="B29" s="76" t="n">
        <x:f>IF(U29="Yes",COUNTIFS($D$3:$D$55,D29,$T$3:$T$55,"&gt;"&amp;T29)+1,"")</x:f>
        <x:v>3</x:v>
      </x:c>
      <x:c r="C29" s="83" t="str">
        <x:v>SearXNG</x:v>
      </x:c>
      <x:c r="D29" s="83" t="str">
        <x:v>Prospecting &amp; Web Data</x:v>
      </x:c>
      <x:c r="E29" s="83" t="str">
        <x:v>Google Search API; SerpAPI</x:v>
      </x:c>
      <x:c r="F29" s="83" t="str">
        <x:v>Private metasearch engine usable as a search data source.</x:v>
      </x:c>
      <x:c r="G29" s="83" t="str">
        <x:v>AGPL-3.0</x:v>
      </x:c>
      <x:c r="H29" s="83" t="str">
        <x:v>Copyleft open source</x:v>
      </x:c>
      <x:c r="I29" s="91" t="n">
        <x:v>34164</x:v>
      </x:c>
      <x:c r="J29" s="91" t="n">
        <x:v>3166</x:v>
      </x:c>
      <x:c r="K29" s="91" t="n">
        <x:v>214</x:v>
      </x:c>
      <x:c r="L29" s="92" t="n">
        <x:v>46222.63068287037</x:v>
      </x:c>
      <x:c r="M29" s="76" t="n">
        <x:f>MAX(0,INT('Scoring Method'!$G$20)-INT(L29))</x:f>
        <x:v>1</x:v>
      </x:c>
      <x:c r="N29" s="93" t="n">
        <x:f>ROUND(MIN(25,25*LN(I29+1)/LN(MAX($I$3:$I$55)+1)),1)</x:f>
        <x:v>21.9</x:v>
      </x:c>
      <x:c r="O29" s="93" t="n">
        <x:f>ROUND(MIN(15,15*LN(J29+1)/LN(MAX($J$3:$J$55)+1)),1)</x:f>
        <x:v>12</x:v>
      </x:c>
      <x:c r="P29" s="93" t="n">
        <x:f>IF(M29&lt;=7,20,IF(M29&lt;=30,18,IF(M29&lt;=90,14,IF(M29&lt;=180,10,IF(M29&lt;=365,5,0)))))</x:f>
        <x:v>20</x:v>
      </x:c>
      <x:c r="Q29" s="93" t="n">
        <x:v>14</x:v>
      </x:c>
      <x:c r="R29" s="93" t="n">
        <x:v>9</x:v>
      </x:c>
      <x:c r="S29" s="93" t="n">
        <x:f>IFERROR(VLOOKUP(H29,'Scoring Method'!$A$15:$B$20,2,FALSE),0)</x:f>
        <x:v>9</x:v>
      </x:c>
      <x:c r="T29" s="93" t="n">
        <x:f>ROUND(SUM(N29:S29),1)</x:f>
        <x:v>85.9</x:v>
      </x:c>
      <x:c r="U29" s="76" t="str">
        <x:f>IF(OR(H29="Source available",H29="Unlicensed / unclear"),"No","Yes")</x:f>
        <x:v>Yes</x:v>
      </x:c>
      <x:c r="V29" s="76" t="str">
        <x:f>IF(I29&gt;=20000,"Established",IF(I29&gt;=5000,"Mature",IF(I29&gt;=1000,"Growing","Early")))</x:f>
        <x:v>Established</x:v>
      </x:c>
      <x:c r="W29" s="83" t="str">
        <x:f>IF(U29&lt;&gt;"Yes","Watchlist",IF(T29&gt;=80,"Strong shortlist",IF(T29&gt;=68,"Pilot",IF(T29&gt;=55,"Evaluate","Monitor"))))</x:f>
        <x:v>Strong shortlist</x:v>
      </x:c>
      <x:c r="X29" s="83" t="str">
        <x:v>https://github.com/searxng/searxng</x:v>
      </x:c>
      <x:c r="Y29" s="83" t="str">
        <x:v>https://docs.searxng.org</x:v>
      </x:c>
      <x:c r="Z29" s="94" t="n">
        <x:v>46223</x:v>
      </x:c>
    </x:row>
    <x:row r="30" ht="15" hidden="0" customHeight="1">
      <x:c r="A30" s="76" t="n">
        <x:f>IF(U30="Yes",COUNTIFS($U$3:$U$55,"Yes",$T$3:$T$55,"&gt;"&amp;T30)+1,"")</x:f>
        <x:v>28</x:v>
      </x:c>
      <x:c r="B30" s="76" t="n">
        <x:f>IF(U30="Yes",COUNTIFS($D$3:$D$55,D30,$T$3:$T$55,"&gt;"&amp;T30)+1,"")</x:f>
        <x:v>3</x:v>
      </x:c>
      <x:c r="C30" s="83" t="str">
        <x:v>EspoCRM</x:v>
      </x:c>
      <x:c r="D30" s="83" t="str">
        <x:v>CRM &amp; Revenue Operations</x:v>
      </x:c>
      <x:c r="E30" s="83" t="str">
        <x:v>Salesforce; HubSpot</x:v>
      </x:c>
      <x:c r="F30" s="83" t="str">
        <x:v>Established CRM for leads, accounts, deals and service.</x:v>
      </x:c>
      <x:c r="G30" s="83" t="str">
        <x:v>AGPL-3.0</x:v>
      </x:c>
      <x:c r="H30" s="83" t="str">
        <x:v>Copyleft open source</x:v>
      </x:c>
      <x:c r="I30" s="91" t="n">
        <x:v>3151</x:v>
      </x:c>
      <x:c r="J30" s="91" t="n">
        <x:v>903</x:v>
      </x:c>
      <x:c r="K30" s="91" t="n">
        <x:v>60</x:v>
      </x:c>
      <x:c r="L30" s="92" t="n">
        <x:v>46223.43686342592</x:v>
      </x:c>
      <x:c r="M30" s="76" t="n">
        <x:f>MAX(0,INT('Scoring Method'!$G$20)-INT(L30))</x:f>
        <x:v>0</x:v>
      </x:c>
      <x:c r="N30" s="93" t="n">
        <x:f>ROUND(MIN(25,25*LN(I30+1)/LN(MAX($I$3:$I$55)+1)),1)</x:f>
        <x:v>16.9</x:v>
      </x:c>
      <x:c r="O30" s="93" t="n">
        <x:f>ROUND(MIN(15,15*LN(J30+1)/LN(MAX($J$3:$J$55)+1)),1)</x:f>
        <x:v>10.1</x:v>
      </x:c>
      <x:c r="P30" s="93" t="n">
        <x:f>IF(M30&lt;=7,20,IF(M30&lt;=30,18,IF(M30&lt;=90,14,IF(M30&lt;=180,10,IF(M30&lt;=365,5,0)))))</x:f>
        <x:v>20</x:v>
      </x:c>
      <x:c r="Q30" s="93" t="n">
        <x:v>14</x:v>
      </x:c>
      <x:c r="R30" s="93" t="n">
        <x:v>15</x:v>
      </x:c>
      <x:c r="S30" s="93" t="n">
        <x:f>IFERROR(VLOOKUP(H30,'Scoring Method'!$A$15:$B$20,2,FALSE),0)</x:f>
        <x:v>9</x:v>
      </x:c>
      <x:c r="T30" s="93" t="n">
        <x:f>ROUND(SUM(N30:S30),1)</x:f>
        <x:v>85</x:v>
      </x:c>
      <x:c r="U30" s="76" t="str">
        <x:f>IF(OR(H30="Source available",H30="Unlicensed / unclear"),"No","Yes")</x:f>
        <x:v>Yes</x:v>
      </x:c>
      <x:c r="V30" s="76" t="str">
        <x:f>IF(I30&gt;=20000,"Established",IF(I30&gt;=5000,"Mature",IF(I30&gt;=1000,"Growing","Early")))</x:f>
        <x:v>Growing</x:v>
      </x:c>
      <x:c r="W30" s="83" t="str">
        <x:f>IF(U30&lt;&gt;"Yes","Watchlist",IF(T30&gt;=80,"Strong shortlist",IF(T30&gt;=68,"Pilot",IF(T30&gt;=55,"Evaluate","Monitor"))))</x:f>
        <x:v>Strong shortlist</x:v>
      </x:c>
      <x:c r="X30" s="83" t="str">
        <x:v>https://github.com/espocrm/espocrm</x:v>
      </x:c>
      <x:c r="Y30" s="83" t="str">
        <x:v>https://www.espocrm.com</x:v>
      </x:c>
      <x:c r="Z30" s="94" t="n">
        <x:v>46223</x:v>
      </x:c>
    </x:row>
    <x:row r="31" ht="15" hidden="0" customHeight="1">
      <x:c r="A31" s="76" t="n">
        <x:f>IF(U31="Yes",COUNTIFS($U$3:$U$55,"Yes",$T$3:$T$55,"&gt;"&amp;T31)+1,"")</x:f>
        <x:v>29</x:v>
      </x:c>
      <x:c r="B31" s="76" t="n">
        <x:f>IF(U31="Yes",COUNTIFS($D$3:$D$55,D31,$T$3:$T$55,"&gt;"&amp;T31)+1,"")</x:f>
        <x:v>3</x:v>
      </x:c>
      <x:c r="C31" s="83" t="str">
        <x:v>Webstudio</x:v>
      </x:c>
      <x:c r="D31" s="83" t="str">
        <x:v>Website &amp; Content</x:v>
      </x:c>
      <x:c r="E31" s="83" t="str">
        <x:v>Webflow; Framer</x:v>
      </x:c>
      <x:c r="F31" s="83" t="str">
        <x:v>Visual website builder with open code and self-hosting.</x:v>
      </x:c>
      <x:c r="G31" s="83" t="str">
        <x:v>AGPL-3.0</x:v>
      </x:c>
      <x:c r="H31" s="83" t="str">
        <x:v>Copyleft open source</x:v>
      </x:c>
      <x:c r="I31" s="91" t="n">
        <x:v>8746</x:v>
      </x:c>
      <x:c r="J31" s="91" t="n">
        <x:v>1559</x:v>
      </x:c>
      <x:c r="K31" s="91" t="n">
        <x:v>347</x:v>
      </x:c>
      <x:c r="L31" s="92" t="n">
        <x:v>46223.70162037037</x:v>
      </x:c>
      <x:c r="M31" s="76" t="n">
        <x:f>MAX(0,INT('Scoring Method'!$G$20)-INT(L31))</x:f>
        <x:v>0</x:v>
      </x:c>
      <x:c r="N31" s="93" t="n">
        <x:f>ROUND(MIN(25,25*LN(I31+1)/LN(MAX($I$3:$I$55)+1)),1)</x:f>
        <x:v>19</x:v>
      </x:c>
      <x:c r="O31" s="93" t="n">
        <x:f>ROUND(MIN(15,15*LN(J31+1)/LN(MAX($J$3:$J$55)+1)),1)</x:f>
        <x:v>10.9</x:v>
      </x:c>
      <x:c r="P31" s="93" t="n">
        <x:f>IF(M31&lt;=7,20,IF(M31&lt;=30,18,IF(M31&lt;=90,14,IF(M31&lt;=180,10,IF(M31&lt;=365,5,0)))))</x:f>
        <x:v>20</x:v>
      </x:c>
      <x:c r="Q31" s="93" t="n">
        <x:v>12</x:v>
      </x:c>
      <x:c r="R31" s="93" t="n">
        <x:v>14</x:v>
      </x:c>
      <x:c r="S31" s="93" t="n">
        <x:f>IFERROR(VLOOKUP(H31,'Scoring Method'!$A$15:$B$20,2,FALSE),0)</x:f>
        <x:v>9</x:v>
      </x:c>
      <x:c r="T31" s="93" t="n">
        <x:f>ROUND(SUM(N31:S31),1)</x:f>
        <x:v>84.9</x:v>
      </x:c>
      <x:c r="U31" s="76" t="str">
        <x:f>IF(OR(H31="Source available",H31="Unlicensed / unclear"),"No","Yes")</x:f>
        <x:v>Yes</x:v>
      </x:c>
      <x:c r="V31" s="76" t="str">
        <x:f>IF(I31&gt;=20000,"Established",IF(I31&gt;=5000,"Mature",IF(I31&gt;=1000,"Growing","Early")))</x:f>
        <x:v>Mature</x:v>
      </x:c>
      <x:c r="W31" s="83" t="str">
        <x:f>IF(U31&lt;&gt;"Yes","Watchlist",IF(T31&gt;=80,"Strong shortlist",IF(T31&gt;=68,"Pilot",IF(T31&gt;=55,"Evaluate","Monitor"))))</x:f>
        <x:v>Strong shortlist</x:v>
      </x:c>
      <x:c r="X31" s="83" t="str">
        <x:v>https://github.com/webstudio-is/webstudio</x:v>
      </x:c>
      <x:c r="Y31" s="83" t="str">
        <x:v>https://webstudio.is</x:v>
      </x:c>
      <x:c r="Z31" s="94" t="n">
        <x:v>46223</x:v>
      </x:c>
    </x:row>
    <x:row r="32" ht="24" hidden="0" customHeight="1">
      <x:c r="A32" s="76" t="n">
        <x:f>IF(U32="Yes",COUNTIFS($U$3:$U$55,"Yes",$T$3:$T$55,"&gt;"&amp;T32)+1,"")</x:f>
        <x:v>30</x:v>
      </x:c>
      <x:c r="B32" s="76" t="n">
        <x:f>IF(U32="Yes",COUNTIFS($D$3:$D$55,D32,$T$3:$T$55,"&gt;"&amp;T32)+1,"")</x:f>
        <x:v>5</x:v>
      </x:c>
      <x:c r="C32" s="83" t="str">
        <x:v>GrowthBook</x:v>
      </x:c>
      <x:c r="D32" s="83" t="str">
        <x:v>Analytics &amp; Experimentation</x:v>
      </x:c>
      <x:c r="E32" s="83" t="str">
        <x:v>Optimizely; LaunchDarkly</x:v>
      </x:c>
      <x:c r="F32" s="83" t="str">
        <x:v>Feature flags and experimentation with warehouse-native analysis.</x:v>
      </x:c>
      <x:c r="G32" s="83" t="str">
        <x:v>MIT core + enterprise files</x:v>
      </x:c>
      <x:c r="H32" s="83" t="str">
        <x:v>Open core (permissive)</x:v>
      </x:c>
      <x:c r="I32" s="91" t="n">
        <x:v>8009</x:v>
      </x:c>
      <x:c r="J32" s="91" t="n">
        <x:v>796</x:v>
      </x:c>
      <x:c r="K32" s="91" t="n">
        <x:v>803</x:v>
      </x:c>
      <x:c r="L32" s="92" t="n">
        <x:v>46223.70097222222</x:v>
      </x:c>
      <x:c r="M32" s="76" t="n">
        <x:f>MAX(0,INT('Scoring Method'!$G$20)-INT(L32))</x:f>
        <x:v>0</x:v>
      </x:c>
      <x:c r="N32" s="93" t="n">
        <x:f>ROUND(MIN(25,25*LN(I32+1)/LN(MAX($I$3:$I$55)+1)),1)</x:f>
        <x:v>18.9</x:v>
      </x:c>
      <x:c r="O32" s="93" t="n">
        <x:f>ROUND(MIN(15,15*LN(J32+1)/LN(MAX($J$3:$J$55)+1)),1)</x:f>
        <x:v>9.9</x:v>
      </x:c>
      <x:c r="P32" s="93" t="n">
        <x:f>IF(M32&lt;=7,20,IF(M32&lt;=30,18,IF(M32&lt;=90,14,IF(M32&lt;=180,10,IF(M32&lt;=365,5,0)))))</x:f>
        <x:v>20</x:v>
      </x:c>
      <x:c r="Q32" s="93" t="n">
        <x:v>14</x:v>
      </x:c>
      <x:c r="R32" s="93" t="n">
        <x:v>14</x:v>
      </x:c>
      <x:c r="S32" s="93" t="n">
        <x:f>IFERROR(VLOOKUP(H32,'Scoring Method'!$A$15:$B$20,2,FALSE),0)</x:f>
        <x:v>8</x:v>
      </x:c>
      <x:c r="T32" s="93" t="n">
        <x:f>ROUND(SUM(N32:S32),1)</x:f>
        <x:v>84.8</x:v>
      </x:c>
      <x:c r="U32" s="76" t="str">
        <x:f>IF(OR(H32="Source available",H32="Unlicensed / unclear"),"No","Yes")</x:f>
        <x:v>Yes</x:v>
      </x:c>
      <x:c r="V32" s="76" t="str">
        <x:f>IF(I32&gt;=20000,"Established",IF(I32&gt;=5000,"Mature",IF(I32&gt;=1000,"Growing","Early")))</x:f>
        <x:v>Mature</x:v>
      </x:c>
      <x:c r="W32" s="83" t="str">
        <x:f>IF(U32&lt;&gt;"Yes","Watchlist",IF(T32&gt;=80,"Strong shortlist",IF(T32&gt;=68,"Pilot",IF(T32&gt;=55,"Evaluate","Monitor"))))</x:f>
        <x:v>Strong shortlist</x:v>
      </x:c>
      <x:c r="X32" s="83" t="str">
        <x:v>https://github.com/growthbook/growthbook</x:v>
      </x:c>
      <x:c r="Y32" s="83" t="str">
        <x:v>https://www.growthbook.io</x:v>
      </x:c>
      <x:c r="Z32" s="94" t="n">
        <x:v>46223</x:v>
      </x:c>
    </x:row>
    <x:row r="33" ht="24" hidden="0" customHeight="1">
      <x:c r="A33" s="76" t="n">
        <x:f>IF(U33="Yes",COUNTIFS($U$3:$U$55,"Yes",$T$3:$T$55,"&gt;"&amp;T33)+1,"")</x:f>
        <x:v>30</x:v>
      </x:c>
      <x:c r="B33" s="76" t="n">
        <x:f>IF(U33="Yes",COUNTIFS($D$3:$D$55,D33,$T$3:$T$55,"&gt;"&amp;T33)+1,"")</x:f>
        <x:v>3</x:v>
      </x:c>
      <x:c r="C33" s="83" t="str">
        <x:v>Windmill</x:v>
      </x:c>
      <x:c r="D33" s="83" t="str">
        <x:v>Workflow Automation</x:v>
      </x:c>
      <x:c r="E33" s="83" t="str">
        <x:v>Retool Workflows; Zapier</x:v>
      </x:c>
      <x:c r="F33" s="83" t="str">
        <x:v>Developer automation, workflows and internal applications.</x:v>
      </x:c>
      <x:c r="G33" s="83" t="str">
        <x:v>AGPL-3.0 / Apache-2.0 core + enterprise files</x:v>
      </x:c>
      <x:c r="H33" s="83" t="str">
        <x:v>Open core (copyleft)</x:v>
      </x:c>
      <x:c r="I33" s="91" t="n">
        <x:v>17198</x:v>
      </x:c>
      <x:c r="J33" s="91" t="n">
        <x:v>1037</x:v>
      </x:c>
      <x:c r="K33" s="91" t="n">
        <x:v>804</x:v>
      </x:c>
      <x:c r="L33" s="92" t="n">
        <x:v>46223.70376157408</x:v>
      </x:c>
      <x:c r="M33" s="76" t="n">
        <x:f>MAX(0,INT('Scoring Method'!$G$20)-INT(L33))</x:f>
        <x:v>0</x:v>
      </x:c>
      <x:c r="N33" s="93" t="n">
        <x:f>ROUND(MIN(25,25*LN(I33+1)/LN(MAX($I$3:$I$55)+1)),1)</x:f>
        <x:v>20.5</x:v>
      </x:c>
      <x:c r="O33" s="93" t="n">
        <x:f>ROUND(MIN(15,15*LN(J33+1)/LN(MAX($J$3:$J$55)+1)),1)</x:f>
        <x:v>10.3</x:v>
      </x:c>
      <x:c r="P33" s="93" t="n">
        <x:f>IF(M33&lt;=7,20,IF(M33&lt;=30,18,IF(M33&lt;=90,14,IF(M33&lt;=180,10,IF(M33&lt;=365,5,0)))))</x:f>
        <x:v>20</x:v>
      </x:c>
      <x:c r="Q33" s="93" t="n">
        <x:v>14</x:v>
      </x:c>
      <x:c r="R33" s="93" t="n">
        <x:v>13</x:v>
      </x:c>
      <x:c r="S33" s="93" t="n">
        <x:f>IFERROR(VLOOKUP(H33,'Scoring Method'!$A$15:$B$20,2,FALSE),0)</x:f>
        <x:v>7</x:v>
      </x:c>
      <x:c r="T33" s="93" t="n">
        <x:f>ROUND(SUM(N33:S33),1)</x:f>
        <x:v>84.8</x:v>
      </x:c>
      <x:c r="U33" s="76" t="str">
        <x:f>IF(OR(H33="Source available",H33="Unlicensed / unclear"),"No","Yes")</x:f>
        <x:v>Yes</x:v>
      </x:c>
      <x:c r="V33" s="76" t="str">
        <x:f>IF(I33&gt;=20000,"Established",IF(I33&gt;=5000,"Mature",IF(I33&gt;=1000,"Growing","Early")))</x:f>
        <x:v>Mature</x:v>
      </x:c>
      <x:c r="W33" s="83" t="str">
        <x:f>IF(U33&lt;&gt;"Yes","Watchlist",IF(T33&gt;=80,"Strong shortlist",IF(T33&gt;=68,"Pilot",IF(T33&gt;=55,"Evaluate","Monitor"))))</x:f>
        <x:v>Strong shortlist</x:v>
      </x:c>
      <x:c r="X33" s="83" t="str">
        <x:v>https://github.com/windmill-labs/windmill</x:v>
      </x:c>
      <x:c r="Y33" s="83" t="str">
        <x:v>https://windmill.dev</x:v>
      </x:c>
      <x:c r="Z33" s="94" t="n">
        <x:v>46223</x:v>
      </x:c>
    </x:row>
    <x:row r="34" ht="24" hidden="0" customHeight="1">
      <x:c r="A34" s="76" t="n">
        <x:f>IF(U34="Yes",COUNTIFS($U$3:$U$55,"Yes",$T$3:$T$55,"&gt;"&amp;T34)+1,"")</x:f>
        <x:v>32</x:v>
      </x:c>
      <x:c r="B34" s="76" t="n">
        <x:f>IF(U34="Yes",COUNTIFS($D$3:$D$55,D34,$T$3:$T$55,"&gt;"&amp;T34)+1,"")</x:f>
        <x:v>6</x:v>
      </x:c>
      <x:c r="C34" s="83" t="str">
        <x:v>Langfuse</x:v>
      </x:c>
      <x:c r="D34" s="83" t="str">
        <x:v>Agent &amp; GTM Developer Tools</x:v>
      </x:c>
      <x:c r="E34" s="83" t="str">
        <x:v>LangSmith; agent observability services</x:v>
      </x:c>
      <x:c r="F34" s="83" t="str">
        <x:v>Tracing, evaluation and prompt management for AI applications.</x:v>
      </x:c>
      <x:c r="G34" s="83" t="str">
        <x:v>MIT core + enterprise files</x:v>
      </x:c>
      <x:c r="H34" s="83" t="str">
        <x:v>Open core (permissive)</x:v>
      </x:c>
      <x:c r="I34" s="91" t="n">
        <x:v>31501</x:v>
      </x:c>
      <x:c r="J34" s="91" t="n">
        <x:v>3325</x:v>
      </x:c>
      <x:c r="K34" s="91" t="n">
        <x:v>719</x:v>
      </x:c>
      <x:c r="L34" s="92" t="n">
        <x:v>46223.703888888886</x:v>
      </x:c>
      <x:c r="M34" s="76" t="n">
        <x:f>MAX(0,INT('Scoring Method'!$G$20)-INT(L34))</x:f>
        <x:v>0</x:v>
      </x:c>
      <x:c r="N34" s="93" t="n">
        <x:f>ROUND(MIN(25,25*LN(I34+1)/LN(MAX($I$3:$I$55)+1)),1)</x:f>
        <x:v>21.7</x:v>
      </x:c>
      <x:c r="O34" s="93" t="n">
        <x:f>ROUND(MIN(15,15*LN(J34+1)/LN(MAX($J$3:$J$55)+1)),1)</x:f>
        <x:v>12</x:v>
      </x:c>
      <x:c r="P34" s="93" t="n">
        <x:f>IF(M34&lt;=7,20,IF(M34&lt;=30,18,IF(M34&lt;=90,14,IF(M34&lt;=180,10,IF(M34&lt;=365,5,0)))))</x:f>
        <x:v>20</x:v>
      </x:c>
      <x:c r="Q34" s="93" t="n">
        <x:v>14</x:v>
      </x:c>
      <x:c r="R34" s="93" t="n">
        <x:v>9</x:v>
      </x:c>
      <x:c r="S34" s="93" t="n">
        <x:f>IFERROR(VLOOKUP(H34,'Scoring Method'!$A$15:$B$20,2,FALSE),0)</x:f>
        <x:v>8</x:v>
      </x:c>
      <x:c r="T34" s="93" t="n">
        <x:f>ROUND(SUM(N34:S34),1)</x:f>
        <x:v>84.7</x:v>
      </x:c>
      <x:c r="U34" s="76" t="str">
        <x:f>IF(OR(H34="Source available",H34="Unlicensed / unclear"),"No","Yes")</x:f>
        <x:v>Yes</x:v>
      </x:c>
      <x:c r="V34" s="76" t="str">
        <x:f>IF(I34&gt;=20000,"Established",IF(I34&gt;=5000,"Mature",IF(I34&gt;=1000,"Growing","Early")))</x:f>
        <x:v>Established</x:v>
      </x:c>
      <x:c r="W34" s="83" t="str">
        <x:f>IF(U34&lt;&gt;"Yes","Watchlist",IF(T34&gt;=80,"Strong shortlist",IF(T34&gt;=68,"Pilot",IF(T34&gt;=55,"Evaluate","Monitor"))))</x:f>
        <x:v>Strong shortlist</x:v>
      </x:c>
      <x:c r="X34" s="83" t="str">
        <x:v>https://github.com/langfuse/langfuse</x:v>
      </x:c>
      <x:c r="Y34" s="83" t="str">
        <x:v>https://langfuse.com</x:v>
      </x:c>
      <x:c r="Z34" s="94" t="n">
        <x:v>46223</x:v>
      </x:c>
    </x:row>
    <x:row r="35" ht="15" hidden="0" customHeight="1">
      <x:c r="A35" s="76" t="n">
        <x:f>IF(U35="Yes",COUNTIFS($U$3:$U$55,"Yes",$T$3:$T$55,"&gt;"&amp;T35)+1,"")</x:f>
        <x:v>33</x:v>
      </x:c>
      <x:c r="B35" s="76" t="n">
        <x:f>IF(U35="Yes",COUNTIFS($D$3:$D$55,D35,$T$3:$T$55,"&gt;"&amp;T35)+1,"")</x:f>
        <x:v>3</x:v>
      </x:c>
      <x:c r="C35" s="83" t="str">
        <x:v>FreeScout</x:v>
      </x:c>
      <x:c r="D35" s="83" t="str">
        <x:v>Customer Support &amp; Success</x:v>
      </x:c>
      <x:c r="E35" s="83" t="str">
        <x:v>Help Scout; Zendesk</x:v>
      </x:c>
      <x:c r="F35" s="83" t="str">
        <x:v>Lightweight shared inbox and help desk.</x:v>
      </x:c>
      <x:c r="G35" s="83" t="str">
        <x:v>AGPL-3.0</x:v>
      </x:c>
      <x:c r="H35" s="83" t="str">
        <x:v>Copyleft open source</x:v>
      </x:c>
      <x:c r="I35" s="91" t="n">
        <x:v>4427</x:v>
      </x:c>
      <x:c r="J35" s="91" t="n">
        <x:v>690</x:v>
      </x:c>
      <x:c r="K35" s="91" t="n">
        <x:v>39</x:v>
      </x:c>
      <x:c r="L35" s="92" t="n">
        <x:v>46223.68402777778</x:v>
      </x:c>
      <x:c r="M35" s="76" t="n">
        <x:f>MAX(0,INT('Scoring Method'!$G$20)-INT(L35))</x:f>
        <x:v>0</x:v>
      </x:c>
      <x:c r="N35" s="93" t="n">
        <x:f>ROUND(MIN(25,25*LN(I35+1)/LN(MAX($I$3:$I$55)+1)),1)</x:f>
        <x:v>17.6</x:v>
      </x:c>
      <x:c r="O35" s="93" t="n">
        <x:f>ROUND(MIN(15,15*LN(J35+1)/LN(MAX($J$3:$J$55)+1)),1)</x:f>
        <x:v>9.7</x:v>
      </x:c>
      <x:c r="P35" s="93" t="n">
        <x:f>IF(M35&lt;=7,20,IF(M35&lt;=30,18,IF(M35&lt;=90,14,IF(M35&lt;=180,10,IF(M35&lt;=365,5,0)))))</x:f>
        <x:v>20</x:v>
      </x:c>
      <x:c r="Q35" s="93" t="n">
        <x:v>14</x:v>
      </x:c>
      <x:c r="R35" s="93" t="n">
        <x:v>14</x:v>
      </x:c>
      <x:c r="S35" s="93" t="n">
        <x:f>IFERROR(VLOOKUP(H35,'Scoring Method'!$A$15:$B$20,2,FALSE),0)</x:f>
        <x:v>9</x:v>
      </x:c>
      <x:c r="T35" s="93" t="n">
        <x:f>ROUND(SUM(N35:S35),1)</x:f>
        <x:v>84.3</x:v>
      </x:c>
      <x:c r="U35" s="76" t="str">
        <x:f>IF(OR(H35="Source available",H35="Unlicensed / unclear"),"No","Yes")</x:f>
        <x:v>Yes</x:v>
      </x:c>
      <x:c r="V35" s="76" t="str">
        <x:f>IF(I35&gt;=20000,"Established",IF(I35&gt;=5000,"Mature",IF(I35&gt;=1000,"Growing","Early")))</x:f>
        <x:v>Growing</x:v>
      </x:c>
      <x:c r="W35" s="83" t="str">
        <x:f>IF(U35&lt;&gt;"Yes","Watchlist",IF(T35&gt;=80,"Strong shortlist",IF(T35&gt;=68,"Pilot",IF(T35&gt;=55,"Evaluate","Monitor"))))</x:f>
        <x:v>Strong shortlist</x:v>
      </x:c>
      <x:c r="X35" s="83" t="str">
        <x:v>https://github.com/freescout-help-desk/freescout</x:v>
      </x:c>
      <x:c r="Y35" s="83" t="str">
        <x:v>https://freescout.net</x:v>
      </x:c>
      <x:c r="Z35" s="94" t="n">
        <x:v>46223</x:v>
      </x:c>
    </x:row>
    <x:row r="36" ht="15" hidden="0" customHeight="1">
      <x:c r="A36" s="76" t="n">
        <x:f>IF(U36="Yes",COUNTIFS($U$3:$U$55,"Yes",$T$3:$T$55,"&gt;"&amp;T36)+1,"")</x:f>
        <x:v>34</x:v>
      </x:c>
      <x:c r="B36" s="76" t="n">
        <x:f>IF(U36="Yes",COUNTIFS($D$3:$D$55,D36,$T$3:$T$55,"&gt;"&amp;T36)+1,"")</x:f>
        <x:v>3</x:v>
      </x:c>
      <x:c r="C36" s="83" t="str">
        <x:v>HeyForm</x:v>
      </x:c>
      <x:c r="D36" s="83" t="str">
        <x:v>Forms, Surveys &amp; Conversion</x:v>
      </x:c>
      <x:c r="E36" s="83" t="str">
        <x:v>Typeform; Google Forms</x:v>
      </x:c>
      <x:c r="F36" s="83" t="str">
        <x:v>Form and survey builder.</x:v>
      </x:c>
      <x:c r="G36" s="83" t="str">
        <x:v>AGPL-3.0</x:v>
      </x:c>
      <x:c r="H36" s="83" t="str">
        <x:v>Copyleft open source</x:v>
      </x:c>
      <x:c r="I36" s="91" t="n">
        <x:v>8887</x:v>
      </x:c>
      <x:c r="J36" s="91" t="n">
        <x:v>688</x:v>
      </x:c>
      <x:c r="K36" s="91" t="n">
        <x:v>10</x:v>
      </x:c>
      <x:c r="L36" s="92" t="n">
        <x:v>46217.128275462965</x:v>
      </x:c>
      <x:c r="M36" s="76" t="n">
        <x:f>MAX(0,INT('Scoring Method'!$G$20)-INT(L36))</x:f>
        <x:v>6</x:v>
      </x:c>
      <x:c r="N36" s="93" t="n">
        <x:f>ROUND(MIN(25,25*LN(I36+1)/LN(MAX($I$3:$I$55)+1)),1)</x:f>
        <x:v>19.1</x:v>
      </x:c>
      <x:c r="O36" s="93" t="n">
        <x:f>ROUND(MIN(15,15*LN(J36+1)/LN(MAX($J$3:$J$55)+1)),1)</x:f>
        <x:v>9.7</x:v>
      </x:c>
      <x:c r="P36" s="93" t="n">
        <x:f>IF(M36&lt;=7,20,IF(M36&lt;=30,18,IF(M36&lt;=90,14,IF(M36&lt;=180,10,IF(M36&lt;=365,5,0)))))</x:f>
        <x:v>20</x:v>
      </x:c>
      <x:c r="Q36" s="93" t="n">
        <x:v>13</x:v>
      </x:c>
      <x:c r="R36" s="93" t="n">
        <x:v>13</x:v>
      </x:c>
      <x:c r="S36" s="93" t="n">
        <x:f>IFERROR(VLOOKUP(H36,'Scoring Method'!$A$15:$B$20,2,FALSE),0)</x:f>
        <x:v>9</x:v>
      </x:c>
      <x:c r="T36" s="93" t="n">
        <x:f>ROUND(SUM(N36:S36),1)</x:f>
        <x:v>83.8</x:v>
      </x:c>
      <x:c r="U36" s="76" t="str">
        <x:f>IF(OR(H36="Source available",H36="Unlicensed / unclear"),"No","Yes")</x:f>
        <x:v>Yes</x:v>
      </x:c>
      <x:c r="V36" s="76" t="str">
        <x:f>IF(I36&gt;=20000,"Established",IF(I36&gt;=5000,"Mature",IF(I36&gt;=1000,"Growing","Early")))</x:f>
        <x:v>Mature</x:v>
      </x:c>
      <x:c r="W36" s="83" t="str">
        <x:f>IF(U36&lt;&gt;"Yes","Watchlist",IF(T36&gt;=80,"Strong shortlist",IF(T36&gt;=68,"Pilot",IF(T36&gt;=55,"Evaluate","Monitor"))))</x:f>
        <x:v>Strong shortlist</x:v>
      </x:c>
      <x:c r="X36" s="83" t="str">
        <x:v>https://github.com/heyform/heyform</x:v>
      </x:c>
      <x:c r="Y36" s="83" t="str">
        <x:v>https://heyform.net</x:v>
      </x:c>
      <x:c r="Z36" s="94" t="n">
        <x:v>46223</x:v>
      </x:c>
    </x:row>
    <x:row r="37" ht="15" hidden="0" customHeight="1">
      <x:c r="A37" s="76" t="n">
        <x:f>IF(U37="Yes",COUNTIFS($U$3:$U$55,"Yes",$T$3:$T$55,"&gt;"&amp;T37)+1,"")</x:f>
        <x:v>35</x:v>
      </x:c>
      <x:c r="B37" s="76" t="n">
        <x:f>IF(U37="Yes",COUNTIFS($D$3:$D$55,D37,$T$3:$T$55,"&gt;"&amp;T37)+1,"")</x:f>
        <x:v>4</x:v>
      </x:c>
      <x:c r="C37" s="83" t="str">
        <x:v>Easy!Appointments</x:v>
      </x:c>
      <x:c r="D37" s="83" t="str">
        <x:v>Forms, Surveys &amp; Conversion</x:v>
      </x:c>
      <x:c r="E37" s="83" t="str">
        <x:v>Calendly; Acuity Scheduling</x:v>
      </x:c>
      <x:c r="F37" s="83" t="str">
        <x:v>Self-hosted appointment scheduling.</x:v>
      </x:c>
      <x:c r="G37" s="83" t="str">
        <x:v>GPL-3.0</x:v>
      </x:c>
      <x:c r="H37" s="83" t="str">
        <x:v>Copyleft open source</x:v>
      </x:c>
      <x:c r="I37" s="91" t="n">
        <x:v>4267</x:v>
      </x:c>
      <x:c r="J37" s="91" t="n">
        <x:v>1544</x:v>
      </x:c>
      <x:c r="K37" s="91" t="n">
        <x:v>155</x:v>
      </x:c>
      <x:c r="L37" s="92" t="n">
        <x:v>46220.54903935185</x:v>
      </x:c>
      <x:c r="M37" s="76" t="n">
        <x:f>MAX(0,INT('Scoring Method'!$G$20)-INT(L37))</x:f>
        <x:v>3</x:v>
      </x:c>
      <x:c r="N37" s="93" t="n">
        <x:f>ROUND(MIN(25,25*LN(I37+1)/LN(MAX($I$3:$I$55)+1)),1)</x:f>
        <x:v>17.5</x:v>
      </x:c>
      <x:c r="O37" s="93" t="n">
        <x:f>ROUND(MIN(15,15*LN(J37+1)/LN(MAX($J$3:$J$55)+1)),1)</x:f>
        <x:v>10.9</x:v>
      </x:c>
      <x:c r="P37" s="93" t="n">
        <x:f>IF(M37&lt;=7,20,IF(M37&lt;=30,18,IF(M37&lt;=90,14,IF(M37&lt;=180,10,IF(M37&lt;=365,5,0)))))</x:f>
        <x:v>20</x:v>
      </x:c>
      <x:c r="Q37" s="93" t="n">
        <x:v>14</x:v>
      </x:c>
      <x:c r="R37" s="93" t="n">
        <x:v>12</x:v>
      </x:c>
      <x:c r="S37" s="93" t="n">
        <x:f>IFERROR(VLOOKUP(H37,'Scoring Method'!$A$15:$B$20,2,FALSE),0)</x:f>
        <x:v>9</x:v>
      </x:c>
      <x:c r="T37" s="93" t="n">
        <x:f>ROUND(SUM(N37:S37),1)</x:f>
        <x:v>83.4</x:v>
      </x:c>
      <x:c r="U37" s="76" t="str">
        <x:f>IF(OR(H37="Source available",H37="Unlicensed / unclear"),"No","Yes")</x:f>
        <x:v>Yes</x:v>
      </x:c>
      <x:c r="V37" s="76" t="str">
        <x:f>IF(I37&gt;=20000,"Established",IF(I37&gt;=5000,"Mature",IF(I37&gt;=1000,"Growing","Early")))</x:f>
        <x:v>Growing</x:v>
      </x:c>
      <x:c r="W37" s="83" t="str">
        <x:f>IF(U37&lt;&gt;"Yes","Watchlist",IF(T37&gt;=80,"Strong shortlist",IF(T37&gt;=68,"Pilot",IF(T37&gt;=55,"Evaluate","Monitor"))))</x:f>
        <x:v>Strong shortlist</x:v>
      </x:c>
      <x:c r="X37" s="83" t="str">
        <x:v>https://github.com/alextselegidis/easyappointments</x:v>
      </x:c>
      <x:c r="Y37" s="83" t="str">
        <x:v>https://easyappointments.org</x:v>
      </x:c>
      <x:c r="Z37" s="94" t="n">
        <x:v>46223</x:v>
      </x:c>
    </x:row>
    <x:row r="38" ht="15" hidden="0" customHeight="1">
      <x:c r="A38" s="76" t="n">
        <x:f>IF(U38="Yes",COUNTIFS($U$3:$U$55,"Yes",$T$3:$T$55,"&gt;"&amp;T38)+1,"")</x:f>
        <x:v>36</x:v>
      </x:c>
      <x:c r="B38" s="76" t="n">
        <x:f>IF(U38="Yes",COUNTIFS($D$3:$D$55,D38,$T$3:$T$55,"&gt;"&amp;T38)+1,"")</x:f>
        <x:v>1</x:v>
      </x:c>
      <x:c r="C38" s="83" t="str">
        <x:v>Meetily</x:v>
      </x:c>
      <x:c r="D38" s="83" t="str">
        <x:v>Conversation Intelligence</x:v>
      </x:c>
      <x:c r="E38" s="83" t="str">
        <x:v>Granola; Otter.ai; Fireflies.ai</x:v>
      </x:c>
      <x:c r="F38" s="83" t="str">
        <x:v>Local meeting transcription and summarisation.</x:v>
      </x:c>
      <x:c r="G38" s="83" t="str">
        <x:v>MIT</x:v>
      </x:c>
      <x:c r="H38" s="83" t="str">
        <x:v>Permissive open source</x:v>
      </x:c>
      <x:c r="I38" s="91" t="n">
        <x:v>25753</x:v>
      </x:c>
      <x:c r="J38" s="91" t="n">
        <x:v>2579</x:v>
      </x:c>
      <x:c r="K38" s="91" t="n">
        <x:v>302</x:v>
      </x:c>
      <x:c r="L38" s="92" t="n">
        <x:v>46178.578668981485</x:v>
      </x:c>
      <x:c r="M38" s="76" t="n">
        <x:f>MAX(0,INT('Scoring Method'!$G$20)-INT(L38))</x:f>
        <x:v>45</x:v>
      </x:c>
      <x:c r="N38" s="93" t="n">
        <x:f>ROUND(MIN(25,25*LN(I38+1)/LN(MAX($I$3:$I$55)+1)),1)</x:f>
        <x:v>21.3</x:v>
      </x:c>
      <x:c r="O38" s="93" t="n">
        <x:f>ROUND(MIN(15,15*LN(J38+1)/LN(MAX($J$3:$J$55)+1)),1)</x:f>
        <x:v>11.6</x:v>
      </x:c>
      <x:c r="P38" s="93" t="n">
        <x:f>IF(M38&lt;=7,20,IF(M38&lt;=30,18,IF(M38&lt;=90,14,IF(M38&lt;=180,10,IF(M38&lt;=365,5,0)))))</x:f>
        <x:v>14</x:v>
      </x:c>
      <x:c r="Q38" s="93" t="n">
        <x:v>13</x:v>
      </x:c>
      <x:c r="R38" s="93" t="n">
        <x:v>13</x:v>
      </x:c>
      <x:c r="S38" s="93" t="n">
        <x:f>IFERROR(VLOOKUP(H38,'Scoring Method'!$A$15:$B$20,2,FALSE),0)</x:f>
        <x:v>10</x:v>
      </x:c>
      <x:c r="T38" s="93" t="n">
        <x:f>ROUND(SUM(N38:S38),1)</x:f>
        <x:v>82.9</x:v>
      </x:c>
      <x:c r="U38" s="76" t="str">
        <x:f>IF(OR(H38="Source available",H38="Unlicensed / unclear"),"No","Yes")</x:f>
        <x:v>Yes</x:v>
      </x:c>
      <x:c r="V38" s="76" t="str">
        <x:f>IF(I38&gt;=20000,"Established",IF(I38&gt;=5000,"Mature",IF(I38&gt;=1000,"Growing","Early")))</x:f>
        <x:v>Established</x:v>
      </x:c>
      <x:c r="W38" s="83" t="str">
        <x:f>IF(U38&lt;&gt;"Yes","Watchlist",IF(T38&gt;=80,"Strong shortlist",IF(T38&gt;=68,"Pilot",IF(T38&gt;=55,"Evaluate","Monitor"))))</x:f>
        <x:v>Strong shortlist</x:v>
      </x:c>
      <x:c r="X38" s="83" t="str">
        <x:v>https://github.com/Zackriya-Solutions/meetily</x:v>
      </x:c>
      <x:c r="Y38" s="83" t="str">
        <x:v>https://meetily.ai</x:v>
      </x:c>
      <x:c r="Z38" s="94" t="n">
        <x:v>46223</x:v>
      </x:c>
    </x:row>
    <x:row r="39" ht="15" hidden="0" customHeight="1">
      <x:c r="A39" s="76" t="n">
        <x:f>IF(U39="Yes",COUNTIFS($U$3:$U$55,"Yes",$T$3:$T$55,"&gt;"&amp;T39)+1,"")</x:f>
        <x:v>36</x:v>
      </x:c>
      <x:c r="B39" s="76" t="n">
        <x:f>IF(U39="Yes",COUNTIFS($D$3:$D$55,D39,$T$3:$T$55,"&gt;"&amp;T39)+1,"")</x:f>
        <x:v>5</x:v>
      </x:c>
      <x:c r="C39" s="83" t="str">
        <x:v>Presenton</x:v>
      </x:c>
      <x:c r="D39" s="83" t="str">
        <x:v>Creative &amp; Content</x:v>
      </x:c>
      <x:c r="E39" s="83" t="str">
        <x:v>Gamma; Beautiful.ai</x:v>
      </x:c>
      <x:c r="F39" s="83" t="str">
        <x:v>AI presentation generation with self-hosting.</x:v>
      </x:c>
      <x:c r="G39" s="83" t="str">
        <x:v>Apache-2.0</x:v>
      </x:c>
      <x:c r="H39" s="83" t="str">
        <x:v>Permissive open source</x:v>
      </x:c>
      <x:c r="I39" s="91" t="n">
        <x:v>9121</x:v>
      </x:c>
      <x:c r="J39" s="91" t="n">
        <x:v>1427</x:v>
      </x:c>
      <x:c r="K39" s="91" t="n">
        <x:v>33</x:v>
      </x:c>
      <x:c r="L39" s="92" t="n">
        <x:v>46223.684386574074</x:v>
      </x:c>
      <x:c r="M39" s="76" t="n">
        <x:f>MAX(0,INT('Scoring Method'!$G$20)-INT(L39))</x:f>
        <x:v>0</x:v>
      </x:c>
      <x:c r="N39" s="93" t="n">
        <x:f>ROUND(MIN(25,25*LN(I39+1)/LN(MAX($I$3:$I$55)+1)),1)</x:f>
        <x:v>19.1</x:v>
      </x:c>
      <x:c r="O39" s="93" t="n">
        <x:f>ROUND(MIN(15,15*LN(J39+1)/LN(MAX($J$3:$J$55)+1)),1)</x:f>
        <x:v>10.8</x:v>
      </x:c>
      <x:c r="P39" s="93" t="n">
        <x:f>IF(M39&lt;=7,20,IF(M39&lt;=30,18,IF(M39&lt;=90,14,IF(M39&lt;=180,10,IF(M39&lt;=365,5,0)))))</x:f>
        <x:v>20</x:v>
      </x:c>
      <x:c r="Q39" s="93" t="n">
        <x:v>12</x:v>
      </x:c>
      <x:c r="R39" s="93" t="n">
        <x:v>11</x:v>
      </x:c>
      <x:c r="S39" s="93" t="n">
        <x:f>IFERROR(VLOOKUP(H39,'Scoring Method'!$A$15:$B$20,2,FALSE),0)</x:f>
        <x:v>10</x:v>
      </x:c>
      <x:c r="T39" s="93" t="n">
        <x:f>ROUND(SUM(N39:S39),1)</x:f>
        <x:v>82.9</x:v>
      </x:c>
      <x:c r="U39" s="76" t="str">
        <x:f>IF(OR(H39="Source available",H39="Unlicensed / unclear"),"No","Yes")</x:f>
        <x:v>Yes</x:v>
      </x:c>
      <x:c r="V39" s="76" t="str">
        <x:f>IF(I39&gt;=20000,"Established",IF(I39&gt;=5000,"Mature",IF(I39&gt;=1000,"Growing","Early")))</x:f>
        <x:v>Mature</x:v>
      </x:c>
      <x:c r="W39" s="83" t="str">
        <x:f>IF(U39&lt;&gt;"Yes","Watchlist",IF(T39&gt;=80,"Strong shortlist",IF(T39&gt;=68,"Pilot",IF(T39&gt;=55,"Evaluate","Monitor"))))</x:f>
        <x:v>Strong shortlist</x:v>
      </x:c>
      <x:c r="X39" s="83" t="str">
        <x:v>https://github.com/presenton/presenton</x:v>
      </x:c>
      <x:c r="Y39" s="83" t="str">
        <x:v>https://presenton.ai</x:v>
      </x:c>
      <x:c r="Z39" s="94" t="n">
        <x:v>46223</x:v>
      </x:c>
    </x:row>
    <x:row r="40" ht="15" hidden="0" customHeight="1">
      <x:c r="A40" s="76" t="n">
        <x:f>IF(U40="Yes",COUNTIFS($U$3:$U$55,"Yes",$T$3:$T$55,"&gt;"&amp;T40)+1,"")</x:f>
        <x:v>38</x:v>
      </x:c>
      <x:c r="B40" s="76" t="n">
        <x:f>IF(U40="Yes",COUNTIFS($D$3:$D$55,D40,$T$3:$T$55,"&gt;"&amp;T40)+1,"")</x:f>
        <x:v>4</x:v>
      </x:c>
      <x:c r="C40" s="83" t="str">
        <x:v>Corteza</x:v>
      </x:c>
      <x:c r="D40" s="83" t="str">
        <x:v>CRM &amp; Revenue Operations</x:v>
      </x:c>
      <x:c r="E40" s="83" t="str">
        <x:v>Salesforce; Microsoft Dynamics 365</x:v>
      </x:c>
      <x:c r="F40" s="83" t="str">
        <x:v>Low-code business platform with CRM applications.</x:v>
      </x:c>
      <x:c r="G40" s="83" t="str">
        <x:v>Apache-2.0</x:v>
      </x:c>
      <x:c r="H40" s="83" t="str">
        <x:v>Permissive open source</x:v>
      </x:c>
      <x:c r="I40" s="91" t="n">
        <x:v>2119</x:v>
      </x:c>
      <x:c r="J40" s="91" t="n">
        <x:v>507</x:v>
      </x:c>
      <x:c r="K40" s="91" t="n">
        <x:v>256</x:v>
      </x:c>
      <x:c r="L40" s="92" t="n">
        <x:v>46220.40393518518</x:v>
      </x:c>
      <x:c r="M40" s="76" t="n">
        <x:f>MAX(0,INT('Scoring Method'!$G$20)-INT(L40))</x:f>
        <x:v>3</x:v>
      </x:c>
      <x:c r="N40" s="93" t="n">
        <x:f>ROUND(MIN(25,25*LN(I40+1)/LN(MAX($I$3:$I$55)+1)),1)</x:f>
        <x:v>16.1</x:v>
      </x:c>
      <x:c r="O40" s="93" t="n">
        <x:f>ROUND(MIN(15,15*LN(J40+1)/LN(MAX($J$3:$J$55)+1)),1)</x:f>
        <x:v>9.2</x:v>
      </x:c>
      <x:c r="P40" s="93" t="n">
        <x:f>IF(M40&lt;=7,20,IF(M40&lt;=30,18,IF(M40&lt;=90,14,IF(M40&lt;=180,10,IF(M40&lt;=365,5,0)))))</x:f>
        <x:v>20</x:v>
      </x:c>
      <x:c r="Q40" s="93" t="n">
        <x:v>13</x:v>
      </x:c>
      <x:c r="R40" s="93" t="n">
        <x:v>14</x:v>
      </x:c>
      <x:c r="S40" s="93" t="n">
        <x:f>IFERROR(VLOOKUP(H40,'Scoring Method'!$A$15:$B$20,2,FALSE),0)</x:f>
        <x:v>10</x:v>
      </x:c>
      <x:c r="T40" s="93" t="n">
        <x:f>ROUND(SUM(N40:S40),1)</x:f>
        <x:v>82.3</x:v>
      </x:c>
      <x:c r="U40" s="76" t="str">
        <x:f>IF(OR(H40="Source available",H40="Unlicensed / unclear"),"No","Yes")</x:f>
        <x:v>Yes</x:v>
      </x:c>
      <x:c r="V40" s="76" t="str">
        <x:f>IF(I40&gt;=20000,"Established",IF(I40&gt;=5000,"Mature",IF(I40&gt;=1000,"Growing","Early")))</x:f>
        <x:v>Growing</x:v>
      </x:c>
      <x:c r="W40" s="83" t="str">
        <x:f>IF(U40&lt;&gt;"Yes","Watchlist",IF(T40&gt;=80,"Strong shortlist",IF(T40&gt;=68,"Pilot",IF(T40&gt;=55,"Evaluate","Monitor"))))</x:f>
        <x:v>Strong shortlist</x:v>
      </x:c>
      <x:c r="X40" s="83" t="str">
        <x:v>https://github.com/cortezaproject/corteza</x:v>
      </x:c>
      <x:c r="Y40" s="83" t="str">
        <x:v>https://cortezaproject.org</x:v>
      </x:c>
      <x:c r="Z40" s="94" t="n">
        <x:v>46223</x:v>
      </x:c>
    </x:row>
    <x:row r="41" ht="15" hidden="0" customHeight="1">
      <x:c r="A41" s="76" t="n">
        <x:f>IF(U41="Yes",COUNTIFS($U$3:$U$55,"Yes",$T$3:$T$55,"&gt;"&amp;T41)+1,"")</x:f>
        <x:v>39</x:v>
      </x:c>
      <x:c r="B41" s="76" t="n">
        <x:f>IF(U41="Yes",COUNTIFS($D$3:$D$55,D41,$T$3:$T$55,"&gt;"&amp;T41)+1,"")</x:f>
        <x:v>6</x:v>
      </x:c>
      <x:c r="C41" s="83" t="str">
        <x:v>OpenPanel</x:v>
      </x:c>
      <x:c r="D41" s="83" t="str">
        <x:v>Analytics &amp; Experimentation</x:v>
      </x:c>
      <x:c r="E41" s="83" t="str">
        <x:v>Mixpanel; Amplitude</x:v>
      </x:c>
      <x:c r="F41" s="83" t="str">
        <x:v>Web and product analytics with self-hosting.</x:v>
      </x:c>
      <x:c r="G41" s="83" t="str">
        <x:v>AGPL-3.0</x:v>
      </x:c>
      <x:c r="H41" s="83" t="str">
        <x:v>Copyleft open source</x:v>
      </x:c>
      <x:c r="I41" s="91" t="n">
        <x:v>6187</x:v>
      </x:c>
      <x:c r="J41" s="91" t="n">
        <x:v>398</x:v>
      </x:c>
      <x:c r="K41" s="91" t="n">
        <x:v>69</x:v>
      </x:c>
      <x:c r="L41" s="92" t="n">
        <x:v>46209.887349537035</x:v>
      </x:c>
      <x:c r="M41" s="76" t="n">
        <x:f>MAX(0,INT('Scoring Method'!$G$20)-INT(L41))</x:f>
        <x:v>14</x:v>
      </x:c>
      <x:c r="N41" s="93" t="n">
        <x:f>ROUND(MIN(25,25*LN(I41+1)/LN(MAX($I$3:$I$55)+1)),1)</x:f>
        <x:v>18.3</x:v>
      </x:c>
      <x:c r="O41" s="93" t="n">
        <x:f>ROUND(MIN(15,15*LN(J41+1)/LN(MAX($J$3:$J$55)+1)),1)</x:f>
        <x:v>8.9</x:v>
      </x:c>
      <x:c r="P41" s="93" t="n">
        <x:f>IF(M41&lt;=7,20,IF(M41&lt;=30,18,IF(M41&lt;=90,14,IF(M41&lt;=180,10,IF(M41&lt;=365,5,0)))))</x:f>
        <x:v>18</x:v>
      </x:c>
      <x:c r="Q41" s="93" t="n">
        <x:v>13</x:v>
      </x:c>
      <x:c r="R41" s="93" t="n">
        <x:v>14</x:v>
      </x:c>
      <x:c r="S41" s="93" t="n">
        <x:f>IFERROR(VLOOKUP(H41,'Scoring Method'!$A$15:$B$20,2,FALSE),0)</x:f>
        <x:v>9</x:v>
      </x:c>
      <x:c r="T41" s="93" t="n">
        <x:f>ROUND(SUM(N41:S41),1)</x:f>
        <x:v>81.2</x:v>
      </x:c>
      <x:c r="U41" s="76" t="str">
        <x:f>IF(OR(H41="Source available",H41="Unlicensed / unclear"),"No","Yes")</x:f>
        <x:v>Yes</x:v>
      </x:c>
      <x:c r="V41" s="76" t="str">
        <x:f>IF(I41&gt;=20000,"Established",IF(I41&gt;=5000,"Mature",IF(I41&gt;=1000,"Growing","Early")))</x:f>
        <x:v>Mature</x:v>
      </x:c>
      <x:c r="W41" s="83" t="str">
        <x:f>IF(U41&lt;&gt;"Yes","Watchlist",IF(T41&gt;=80,"Strong shortlist",IF(T41&gt;=68,"Pilot",IF(T41&gt;=55,"Evaluate","Monitor"))))</x:f>
        <x:v>Strong shortlist</x:v>
      </x:c>
      <x:c r="X41" s="83" t="str">
        <x:v>https://github.com/Openpanel-dev/openpanel</x:v>
      </x:c>
      <x:c r="Y41" s="83" t="str">
        <x:v>https://openpanel.dev</x:v>
      </x:c>
      <x:c r="Z41" s="94" t="n">
        <x:v>46223</x:v>
      </x:c>
    </x:row>
    <x:row r="42" ht="24" hidden="0" customHeight="1">
      <x:c r="A42" s="76" t="n">
        <x:f>IF(U42="Yes",COUNTIFS($U$3:$U$55,"Yes",$T$3:$T$55,"&gt;"&amp;T42)+1,"")</x:f>
        <x:v>40</x:v>
      </x:c>
      <x:c r="B42" s="76" t="n">
        <x:f>IF(U42="Yes",COUNTIFS($D$3:$D$55,D42,$T$3:$T$55,"&gt;"&amp;T42)+1,"")</x:f>
        <x:v>3</x:v>
      </x:c>
      <x:c r="C42" s="83" t="str">
        <x:v>Plunk</x:v>
      </x:c>
      <x:c r="D42" s="83" t="str">
        <x:v>Marketing Automation &amp; Email</x:v>
      </x:c>
      <x:c r="E42" s="83" t="str">
        <x:v>Loops; Customer.io</x:v>
      </x:c>
      <x:c r="F42" s="83" t="str">
        <x:v>Email platform for transactional and marketing messages.</x:v>
      </x:c>
      <x:c r="G42" s="83" t="str">
        <x:v>AGPL-3.0</x:v>
      </x:c>
      <x:c r="H42" s="83" t="str">
        <x:v>Copyleft open source</x:v>
      </x:c>
      <x:c r="I42" s="91" t="n">
        <x:v>5279</x:v>
      </x:c>
      <x:c r="J42" s="91" t="n">
        <x:v>377</x:v>
      </x:c>
      <x:c r="K42" s="91" t="n">
        <x:v>36</x:v>
      </x:c>
      <x:c r="L42" s="92" t="n">
        <x:v>46214.690567129626</x:v>
      </x:c>
      <x:c r="M42" s="76" t="n">
        <x:f>MAX(0,INT('Scoring Method'!$G$20)-INT(L42))</x:f>
        <x:v>9</x:v>
      </x:c>
      <x:c r="N42" s="93" t="n">
        <x:f>ROUND(MIN(25,25*LN(I42+1)/LN(MAX($I$3:$I$55)+1)),1)</x:f>
        <x:v>18</x:v>
      </x:c>
      <x:c r="O42" s="93" t="n">
        <x:f>ROUND(MIN(15,15*LN(J42+1)/LN(MAX($J$3:$J$55)+1)),1)</x:f>
        <x:v>8.8</x:v>
      </x:c>
      <x:c r="P42" s="93" t="n">
        <x:f>IF(M42&lt;=7,20,IF(M42&lt;=30,18,IF(M42&lt;=90,14,IF(M42&lt;=180,10,IF(M42&lt;=365,5,0)))))</x:f>
        <x:v>18</x:v>
      </x:c>
      <x:c r="Q42" s="93" t="n">
        <x:v>13</x:v>
      </x:c>
      <x:c r="R42" s="93" t="n">
        <x:v>14</x:v>
      </x:c>
      <x:c r="S42" s="93" t="n">
        <x:f>IFERROR(VLOOKUP(H42,'Scoring Method'!$A$15:$B$20,2,FALSE),0)</x:f>
        <x:v>9</x:v>
      </x:c>
      <x:c r="T42" s="93" t="n">
        <x:f>ROUND(SUM(N42:S42),1)</x:f>
        <x:v>80.8</x:v>
      </x:c>
      <x:c r="U42" s="76" t="str">
        <x:f>IF(OR(H42="Source available",H42="Unlicensed / unclear"),"No","Yes")</x:f>
        <x:v>Yes</x:v>
      </x:c>
      <x:c r="V42" s="76" t="str">
        <x:f>IF(I42&gt;=20000,"Established",IF(I42&gt;=5000,"Mature",IF(I42&gt;=1000,"Growing","Early")))</x:f>
        <x:v>Mature</x:v>
      </x:c>
      <x:c r="W42" s="83" t="str">
        <x:f>IF(U42&lt;&gt;"Yes","Watchlist",IF(T42&gt;=80,"Strong shortlist",IF(T42&gt;=68,"Pilot",IF(T42&gt;=55,"Evaluate","Monitor"))))</x:f>
        <x:v>Strong shortlist</x:v>
      </x:c>
      <x:c r="X42" s="83" t="str">
        <x:v>https://github.com/useplunk/plunk</x:v>
      </x:c>
      <x:c r="Y42" s="83" t="str">
        <x:v>https://www.useplunk.com</x:v>
      </x:c>
      <x:c r="Z42" s="94" t="n">
        <x:v>46223</x:v>
      </x:c>
    </x:row>
    <x:row r="43" ht="15" hidden="0" customHeight="1">
      <x:c r="A43" s="76" t="n">
        <x:f>IF(U43="Yes",COUNTIFS($U$3:$U$55,"Yes",$T$3:$T$55,"&gt;"&amp;T43)+1,"")</x:f>
        <x:v>41</x:v>
      </x:c>
      <x:c r="B43" s="76" t="n">
        <x:f>IF(U43="Yes",COUNTIFS($D$3:$D$55,D43,$T$3:$T$55,"&gt;"&amp;T43)+1,"")</x:f>
        <x:v>1</x:v>
      </x:c>
      <x:c r="C43" s="83" t="str">
        <x:v>Jitsu</x:v>
      </x:c>
      <x:c r="D43" s="83" t="str">
        <x:v>Customer Data &amp; Activation</x:v>
      </x:c>
      <x:c r="E43" s="83" t="str">
        <x:v>Segment; RudderStack</x:v>
      </x:c>
      <x:c r="F43" s="83" t="str">
        <x:v>Event collection and data routing.</x:v>
      </x:c>
      <x:c r="G43" s="83" t="str">
        <x:v>MIT</x:v>
      </x:c>
      <x:c r="H43" s="83" t="str">
        <x:v>Permissive open source</x:v>
      </x:c>
      <x:c r="I43" s="91" t="n">
        <x:v>4812</x:v>
      </x:c>
      <x:c r="J43" s="91" t="n">
        <x:v>359</x:v>
      </x:c>
      <x:c r="K43" s="91" t="n">
        <x:v>26</x:v>
      </x:c>
      <x:c r="L43" s="92" t="n">
        <x:v>46223.67917824074</x:v>
      </x:c>
      <x:c r="M43" s="76" t="n">
        <x:f>MAX(0,INT('Scoring Method'!$G$20)-INT(L43))</x:f>
        <x:v>0</x:v>
      </x:c>
      <x:c r="N43" s="93" t="n">
        <x:f>ROUND(MIN(25,25*LN(I43+1)/LN(MAX($I$3:$I$55)+1)),1)</x:f>
        <x:v>17.8</x:v>
      </x:c>
      <x:c r="O43" s="93" t="n">
        <x:f>ROUND(MIN(15,15*LN(J43+1)/LN(MAX($J$3:$J$55)+1)),1)</x:f>
        <x:v>8.7</x:v>
      </x:c>
      <x:c r="P43" s="93" t="n">
        <x:f>IF(M43&lt;=7,20,IF(M43&lt;=30,18,IF(M43&lt;=90,14,IF(M43&lt;=180,10,IF(M43&lt;=365,5,0)))))</x:f>
        <x:v>20</x:v>
      </x:c>
      <x:c r="Q43" s="93" t="n">
        <x:v>12</x:v>
      </x:c>
      <x:c r="R43" s="93" t="n">
        <x:v>12</x:v>
      </x:c>
      <x:c r="S43" s="93" t="n">
        <x:f>IFERROR(VLOOKUP(H43,'Scoring Method'!$A$15:$B$20,2,FALSE),0)</x:f>
        <x:v>10</x:v>
      </x:c>
      <x:c r="T43" s="93" t="n">
        <x:f>ROUND(SUM(N43:S43),1)</x:f>
        <x:v>80.5</x:v>
      </x:c>
      <x:c r="U43" s="76" t="str">
        <x:f>IF(OR(H43="Source available",H43="Unlicensed / unclear"),"No","Yes")</x:f>
        <x:v>Yes</x:v>
      </x:c>
      <x:c r="V43" s="76" t="str">
        <x:f>IF(I43&gt;=20000,"Established",IF(I43&gt;=5000,"Mature",IF(I43&gt;=1000,"Growing","Early")))</x:f>
        <x:v>Growing</x:v>
      </x:c>
      <x:c r="W43" s="83" t="str">
        <x:f>IF(U43&lt;&gt;"Yes","Watchlist",IF(T43&gt;=80,"Strong shortlist",IF(T43&gt;=68,"Pilot",IF(T43&gt;=55,"Evaluate","Monitor"))))</x:f>
        <x:v>Strong shortlist</x:v>
      </x:c>
      <x:c r="X43" s="83" t="str">
        <x:v>https://github.com/jitsucom/jitsu</x:v>
      </x:c>
      <x:c r="Y43" s="83" t="str">
        <x:v>https://jitsu.com</x:v>
      </x:c>
      <x:c r="Z43" s="94" t="n">
        <x:v>46223</x:v>
      </x:c>
    </x:row>
    <x:row r="44" ht="15" hidden="0" customHeight="1">
      <x:c r="A44" s="76" t="n">
        <x:f>IF(U44="Yes",COUNTIFS($U$3:$U$55,"Yes",$T$3:$T$55,"&gt;"&amp;T44)+1,"")</x:f>
        <x:v>42</x:v>
      </x:c>
      <x:c r="B44" s="76" t="n">
        <x:f>IF(U44="Yes",COUNTIFS($D$3:$D$55,D44,$T$3:$T$55,"&gt;"&amp;T44)+1,"")</x:f>
        <x:v>2</x:v>
      </x:c>
      <x:c r="C44" s="83" t="str">
        <x:v>Vexa</x:v>
      </x:c>
      <x:c r="D44" s="83" t="str">
        <x:v>Conversation Intelligence</x:v>
      </x:c>
      <x:c r="E44" s="83" t="str">
        <x:v>Recall.ai; Fireflies.ai</x:v>
      </x:c>
      <x:c r="F44" s="83" t="str">
        <x:v>Meeting bot and real-time transcription API.</x:v>
      </x:c>
      <x:c r="G44" s="83" t="str">
        <x:v>Apache-2.0</x:v>
      </x:c>
      <x:c r="H44" s="83" t="str">
        <x:v>Permissive open source</x:v>
      </x:c>
      <x:c r="I44" s="91" t="n">
        <x:v>2568</x:v>
      </x:c>
      <x:c r="J44" s="91" t="n">
        <x:v>388</x:v>
      </x:c>
      <x:c r="K44" s="91" t="n">
        <x:v>132</x:v>
      </x:c>
      <x:c r="L44" s="92" t="n">
        <x:v>46223.67244212963</x:v>
      </x:c>
      <x:c r="M44" s="76" t="n">
        <x:f>MAX(0,INT('Scoring Method'!$G$20)-INT(L44))</x:f>
        <x:v>0</x:v>
      </x:c>
      <x:c r="N44" s="93" t="n">
        <x:f>ROUND(MIN(25,25*LN(I44+1)/LN(MAX($I$3:$I$55)+1)),1)</x:f>
        <x:v>16.5</x:v>
      </x:c>
      <x:c r="O44" s="93" t="n">
        <x:f>ROUND(MIN(15,15*LN(J44+1)/LN(MAX($J$3:$J$55)+1)),1)</x:f>
        <x:v>8.8</x:v>
      </x:c>
      <x:c r="P44" s="93" t="n">
        <x:f>IF(M44&lt;=7,20,IF(M44&lt;=30,18,IF(M44&lt;=90,14,IF(M44&lt;=180,10,IF(M44&lt;=365,5,0)))))</x:f>
        <x:v>20</x:v>
      </x:c>
      <x:c r="Q44" s="93" t="n">
        <x:v>12</x:v>
      </x:c>
      <x:c r="R44" s="93" t="n">
        <x:v>13</x:v>
      </x:c>
      <x:c r="S44" s="93" t="n">
        <x:f>IFERROR(VLOOKUP(H44,'Scoring Method'!$A$15:$B$20,2,FALSE),0)</x:f>
        <x:v>10</x:v>
      </x:c>
      <x:c r="T44" s="93" t="n">
        <x:f>ROUND(SUM(N44:S44),1)</x:f>
        <x:v>80.3</x:v>
      </x:c>
      <x:c r="U44" s="76" t="str">
        <x:f>IF(OR(H44="Source available",H44="Unlicensed / unclear"),"No","Yes")</x:f>
        <x:v>Yes</x:v>
      </x:c>
      <x:c r="V44" s="76" t="str">
        <x:f>IF(I44&gt;=20000,"Established",IF(I44&gt;=5000,"Mature",IF(I44&gt;=1000,"Growing","Early")))</x:f>
        <x:v>Growing</x:v>
      </x:c>
      <x:c r="W44" s="83" t="str">
        <x:f>IF(U44&lt;&gt;"Yes","Watchlist",IF(T44&gt;=80,"Strong shortlist",IF(T44&gt;=68,"Pilot",IF(T44&gt;=55,"Evaluate","Monitor"))))</x:f>
        <x:v>Strong shortlist</x:v>
      </x:c>
      <x:c r="X44" s="83" t="str">
        <x:v>https://github.com/Vexa-ai/vexa</x:v>
      </x:c>
      <x:c r="Y44" s="83" t="str">
        <x:v>https://vexa.ai</x:v>
      </x:c>
      <x:c r="Z44" s="94" t="n">
        <x:v>46223</x:v>
      </x:c>
    </x:row>
    <x:row r="45" ht="24" hidden="0" customHeight="1">
      <x:c r="A45" s="76" t="n">
        <x:f>IF(U45="Yes",COUNTIFS($U$3:$U$55,"Yes",$T$3:$T$55,"&gt;"&amp;T45)+1,"")</x:f>
        <x:v>43</x:v>
      </x:c>
      <x:c r="B45" s="76" t="n">
        <x:f>IF(U45="Yes",COUNTIFS($D$3:$D$55,D45,$T$3:$T$55,"&gt;"&amp;T45)+1,"")</x:f>
        <x:v>2</x:v>
      </x:c>
      <x:c r="C45" s="83" t="str">
        <x:v>Snowplow</x:v>
      </x:c>
      <x:c r="D45" s="83" t="str">
        <x:v>Customer Data &amp; Activation</x:v>
      </x:c>
      <x:c r="E45" s="83" t="str">
        <x:v>Segment; mParticle</x:v>
      </x:c>
      <x:c r="F45" s="83" t="str">
        <x:v>Behavioural data collection and customer data infrastructure.</x:v>
      </x:c>
      <x:c r="G45" s="83" t="str">
        <x:v>Apache-2.0</x:v>
      </x:c>
      <x:c r="H45" s="83" t="str">
        <x:v>Permissive open source</x:v>
      </x:c>
      <x:c r="I45" s="91" t="n">
        <x:v>7021</x:v>
      </x:c>
      <x:c r="J45" s="91" t="n">
        <x:v>1171</x:v>
      </x:c>
      <x:c r="K45" s="91" t="n">
        <x:v>59</x:v>
      </x:c>
      <x:c r="L45" s="92" t="n">
        <x:v>46199.531006944446</x:v>
      </x:c>
      <x:c r="M45" s="76" t="n">
        <x:f>MAX(0,INT('Scoring Method'!$G$20)-INT(L45))</x:f>
        <x:v>24</x:v>
      </x:c>
      <x:c r="N45" s="93" t="n">
        <x:f>ROUND(MIN(25,25*LN(I45+1)/LN(MAX($I$3:$I$55)+1)),1)</x:f>
        <x:v>18.6</x:v>
      </x:c>
      <x:c r="O45" s="93" t="n">
        <x:f>ROUND(MIN(15,15*LN(J45+1)/LN(MAX($J$3:$J$55)+1)),1)</x:f>
        <x:v>10.5</x:v>
      </x:c>
      <x:c r="P45" s="93" t="n">
        <x:f>IF(M45&lt;=7,20,IF(M45&lt;=30,18,IF(M45&lt;=90,14,IF(M45&lt;=180,10,IF(M45&lt;=365,5,0)))))</x:f>
        <x:v>18</x:v>
      </x:c>
      <x:c r="Q45" s="93" t="n">
        <x:v>10</x:v>
      </x:c>
      <x:c r="R45" s="93" t="n">
        <x:v>13</x:v>
      </x:c>
      <x:c r="S45" s="93" t="n">
        <x:f>IFERROR(VLOOKUP(H45,'Scoring Method'!$A$15:$B$20,2,FALSE),0)</x:f>
        <x:v>10</x:v>
      </x:c>
      <x:c r="T45" s="93" t="n">
        <x:f>ROUND(SUM(N45:S45),1)</x:f>
        <x:v>80.1</x:v>
      </x:c>
      <x:c r="U45" s="76" t="str">
        <x:f>IF(OR(H45="Source available",H45="Unlicensed / unclear"),"No","Yes")</x:f>
        <x:v>Yes</x:v>
      </x:c>
      <x:c r="V45" s="76" t="str">
        <x:f>IF(I45&gt;=20000,"Established",IF(I45&gt;=5000,"Mature",IF(I45&gt;=1000,"Growing","Early")))</x:f>
        <x:v>Mature</x:v>
      </x:c>
      <x:c r="W45" s="83" t="str">
        <x:f>IF(U45&lt;&gt;"Yes","Watchlist",IF(T45&gt;=80,"Strong shortlist",IF(T45&gt;=68,"Pilot",IF(T45&gt;=55,"Evaluate","Monitor"))))</x:f>
        <x:v>Strong shortlist</x:v>
      </x:c>
      <x:c r="X45" s="83" t="str">
        <x:v>https://github.com/snowplow/snowplow</x:v>
      </x:c>
      <x:c r="Y45" s="83" t="str">
        <x:v>https://snowplow.io</x:v>
      </x:c>
      <x:c r="Z45" s="94" t="n">
        <x:v>46223</x:v>
      </x:c>
    </x:row>
    <x:row r="46" ht="15" hidden="0" customHeight="1">
      <x:c r="A46" s="76" t="n">
        <x:f>IF(U46="Yes",COUNTIFS($U$3:$U$55,"Yes",$T$3:$T$55,"&gt;"&amp;T46)+1,"")</x:f>
        <x:v>44</x:v>
      </x:c>
      <x:c r="B46" s="76" t="n">
        <x:f>IF(U46="Yes",COUNTIFS($D$3:$D$55,D46,$T$3:$T$55,"&gt;"&amp;T46)+1,"")</x:f>
        <x:v>5</x:v>
      </x:c>
      <x:c r="C46" s="83" t="str">
        <x:v>Atomic CRM</x:v>
      </x:c>
      <x:c r="D46" s="83" t="str">
        <x:v>CRM &amp; Revenue Operations</x:v>
      </x:c>
      <x:c r="E46" s="83" t="str">
        <x:v>Attio; Pipedrive</x:v>
      </x:c>
      <x:c r="F46" s="83" t="str">
        <x:v>Developer-friendly React CRM toolkit.</x:v>
      </x:c>
      <x:c r="G46" s="83" t="str">
        <x:v>MIT</x:v>
      </x:c>
      <x:c r="H46" s="83" t="str">
        <x:v>Permissive open source</x:v>
      </x:c>
      <x:c r="I46" s="91" t="n">
        <x:v>1150</x:v>
      </x:c>
      <x:c r="J46" s="91" t="n">
        <x:v>733</x:v>
      </x:c>
      <x:c r="K46" s="91" t="n">
        <x:v>14</x:v>
      </x:c>
      <x:c r="L46" s="92" t="n">
        <x:v>46223.379328703704</x:v>
      </x:c>
      <x:c r="M46" s="76" t="n">
        <x:f>MAX(0,INT('Scoring Method'!$G$20)-INT(L46))</x:f>
        <x:v>0</x:v>
      </x:c>
      <x:c r="N46" s="93" t="n">
        <x:f>ROUND(MIN(25,25*LN(I46+1)/LN(MAX($I$3:$I$55)+1)),1)</x:f>
        <x:v>14.8</x:v>
      </x:c>
      <x:c r="O46" s="93" t="n">
        <x:f>ROUND(MIN(15,15*LN(J46+1)/LN(MAX($J$3:$J$55)+1)),1)</x:f>
        <x:v>9.8</x:v>
      </x:c>
      <x:c r="P46" s="93" t="n">
        <x:f>IF(M46&lt;=7,20,IF(M46&lt;=30,18,IF(M46&lt;=90,14,IF(M46&lt;=180,10,IF(M46&lt;=365,5,0)))))</x:f>
        <x:v>20</x:v>
      </x:c>
      <x:c r="Q46" s="93" t="n">
        <x:v>10</x:v>
      </x:c>
      <x:c r="R46" s="93" t="n">
        <x:v>13</x:v>
      </x:c>
      <x:c r="S46" s="93" t="n">
        <x:f>IFERROR(VLOOKUP(H46,'Scoring Method'!$A$15:$B$20,2,FALSE),0)</x:f>
        <x:v>10</x:v>
      </x:c>
      <x:c r="T46" s="93" t="n">
        <x:f>ROUND(SUM(N46:S46),1)</x:f>
        <x:v>77.6</x:v>
      </x:c>
      <x:c r="U46" s="76" t="str">
        <x:f>IF(OR(H46="Source available",H46="Unlicensed / unclear"),"No","Yes")</x:f>
        <x:v>Yes</x:v>
      </x:c>
      <x:c r="V46" s="76" t="str">
        <x:f>IF(I46&gt;=20000,"Established",IF(I46&gt;=5000,"Mature",IF(I46&gt;=1000,"Growing","Early")))</x:f>
        <x:v>Growing</x:v>
      </x:c>
      <x:c r="W46" s="83" t="str">
        <x:f>IF(U46&lt;&gt;"Yes","Watchlist",IF(T46&gt;=80,"Strong shortlist",IF(T46&gt;=68,"Pilot",IF(T46&gt;=55,"Evaluate","Monitor"))))</x:f>
        <x:v>Pilot</x:v>
      </x:c>
      <x:c r="X46" s="83" t="str">
        <x:v>https://github.com/marmelab/atomic-crm</x:v>
      </x:c>
      <x:c r="Y46" s="83" t="str">
        <x:v>http://marmelab.com/atomic-crm/</x:v>
      </x:c>
      <x:c r="Z46" s="94" t="n">
        <x:v>46223</x:v>
      </x:c>
    </x:row>
    <x:row r="47" ht="15" hidden="0" customHeight="1">
      <x:c r="A47" s="76" t="n">
        <x:f>IF(U47="Yes",COUNTIFS($U$3:$U$55,"Yes",$T$3:$T$55,"&gt;"&amp;T47)+1,"")</x:f>
        <x:v>45</x:v>
      </x:c>
      <x:c r="B47" s="76" t="n">
        <x:f>IF(U47="Yes",COUNTIFS($D$3:$D$55,D47,$T$3:$T$55,"&gt;"&amp;T47)+1,"")</x:f>
        <x:v>3</x:v>
      </x:c>
      <x:c r="C47" s="83" t="str">
        <x:v>Meltano</x:v>
      </x:c>
      <x:c r="D47" s="83" t="str">
        <x:v>Customer Data &amp; Activation</x:v>
      </x:c>
      <x:c r="E47" s="83" t="str">
        <x:v>Fivetran; Stitch Data</x:v>
      </x:c>
      <x:c r="F47" s="83" t="str">
        <x:v>Data integration platform built on Singer connectors.</x:v>
      </x:c>
      <x:c r="G47" s="83" t="str">
        <x:v>MIT</x:v>
      </x:c>
      <x:c r="H47" s="83" t="str">
        <x:v>Permissive open source</x:v>
      </x:c>
      <x:c r="I47" s="91" t="n">
        <x:v>2565</x:v>
      </x:c>
      <x:c r="J47" s="91" t="n">
        <x:v>256</x:v>
      </x:c>
      <x:c r="K47" s="91" t="n">
        <x:v>156</x:v>
      </x:c>
      <x:c r="L47" s="92" t="n">
        <x:v>46223.51899305556</x:v>
      </x:c>
      <x:c r="M47" s="76" t="n">
        <x:f>MAX(0,INT('Scoring Method'!$G$20)-INT(L47))</x:f>
        <x:v>0</x:v>
      </x:c>
      <x:c r="N47" s="93" t="n">
        <x:f>ROUND(MIN(25,25*LN(I47+1)/LN(MAX($I$3:$I$55)+1)),1)</x:f>
        <x:v>16.5</x:v>
      </x:c>
      <x:c r="O47" s="93" t="n">
        <x:f>ROUND(MIN(15,15*LN(J47+1)/LN(MAX($J$3:$J$55)+1)),1)</x:f>
        <x:v>8.2</x:v>
      </x:c>
      <x:c r="P47" s="93" t="n">
        <x:f>IF(M47&lt;=7,20,IF(M47&lt;=30,18,IF(M47&lt;=90,14,IF(M47&lt;=180,10,IF(M47&lt;=365,5,0)))))</x:f>
        <x:v>20</x:v>
      </x:c>
      <x:c r="Q47" s="93" t="n">
        <x:v>12</x:v>
      </x:c>
      <x:c r="R47" s="93" t="n">
        <x:v>10</x:v>
      </x:c>
      <x:c r="S47" s="93" t="n">
        <x:f>IFERROR(VLOOKUP(H47,'Scoring Method'!$A$15:$B$20,2,FALSE),0)</x:f>
        <x:v>10</x:v>
      </x:c>
      <x:c r="T47" s="93" t="n">
        <x:f>ROUND(SUM(N47:S47),1)</x:f>
        <x:v>76.7</x:v>
      </x:c>
      <x:c r="U47" s="76" t="str">
        <x:f>IF(OR(H47="Source available",H47="Unlicensed / unclear"),"No","Yes")</x:f>
        <x:v>Yes</x:v>
      </x:c>
      <x:c r="V47" s="76" t="str">
        <x:f>IF(I47&gt;=20000,"Established",IF(I47&gt;=5000,"Mature",IF(I47&gt;=1000,"Growing","Early")))</x:f>
        <x:v>Growing</x:v>
      </x:c>
      <x:c r="W47" s="83" t="str">
        <x:f>IF(U47&lt;&gt;"Yes","Watchlist",IF(T47&gt;=80,"Strong shortlist",IF(T47&gt;=68,"Pilot",IF(T47&gt;=55,"Evaluate","Monitor"))))</x:f>
        <x:v>Pilot</x:v>
      </x:c>
      <x:c r="X47" s="83" t="str">
        <x:v>https://github.com/meltano/meltano</x:v>
      </x:c>
      <x:c r="Y47" s="83" t="str">
        <x:v>https://meltano.com/</x:v>
      </x:c>
      <x:c r="Z47" s="94" t="n">
        <x:v>46223</x:v>
      </x:c>
    </x:row>
    <x:row r="48" ht="24" hidden="0" customHeight="1">
      <x:c r="A48" s="76" t="n">
        <x:f>IF(U48="Yes",COUNTIFS($U$3:$U$55,"Yes",$T$3:$T$55,"&gt;"&amp;T48)+1,"")</x:f>
        <x:v>45</x:v>
      </x:c>
      <x:c r="B48" s="76" t="n">
        <x:f>IF(U48="Yes",COUNTIFS($D$3:$D$55,D48,$T$3:$T$55,"&gt;"&amp;T48)+1,"")</x:f>
        <x:v>6</x:v>
      </x:c>
      <x:c r="C48" s="83" t="str">
        <x:v>SuiteCRM</x:v>
      </x:c>
      <x:c r="D48" s="83" t="str">
        <x:v>CRM &amp; Revenue Operations</x:v>
      </x:c>
      <x:c r="E48" s="83" t="str">
        <x:v>Salesforce; Microsoft Dynamics 365</x:v>
      </x:c>
      <x:c r="F48" s="83" t="str">
        <x:v>Feature-rich enterprise CRM descended from SugarCRM.</x:v>
      </x:c>
      <x:c r="G48" s="83" t="str">
        <x:v>AGPL-3.0</x:v>
      </x:c>
      <x:c r="H48" s="83" t="str">
        <x:v>Copyleft open source</x:v>
      </x:c>
      <x:c r="I48" s="91" t="n">
        <x:v>270</x:v>
      </x:c>
      <x:c r="J48" s="91" t="n">
        <x:v>199</x:v>
      </x:c>
      <x:c r="K48" s="91" t="n">
        <x:v>312</x:v>
      </x:c>
      <x:c r="L48" s="92" t="n">
        <x:v>46218.39407407407</x:v>
      </x:c>
      <x:c r="M48" s="76" t="n">
        <x:f>MAX(0,INT('Scoring Method'!$G$20)-INT(L48))</x:f>
        <x:v>5</x:v>
      </x:c>
      <x:c r="N48" s="93" t="n">
        <x:f>ROUND(MIN(25,25*LN(I48+1)/LN(MAX($I$3:$I$55)+1)),1)</x:f>
        <x:v>11.8</x:v>
      </x:c>
      <x:c r="O48" s="93" t="n">
        <x:f>ROUND(MIN(15,15*LN(J48+1)/LN(MAX($J$3:$J$55)+1)),1)</x:f>
        <x:v>7.9</x:v>
      </x:c>
      <x:c r="P48" s="93" t="n">
        <x:f>IF(M48&lt;=7,20,IF(M48&lt;=30,18,IF(M48&lt;=90,14,IF(M48&lt;=180,10,IF(M48&lt;=365,5,0)))))</x:f>
        <x:v>20</x:v>
      </x:c>
      <x:c r="Q48" s="93" t="n">
        <x:v>13</x:v>
      </x:c>
      <x:c r="R48" s="93" t="n">
        <x:v>15</x:v>
      </x:c>
      <x:c r="S48" s="93" t="n">
        <x:f>IFERROR(VLOOKUP(H48,'Scoring Method'!$A$15:$B$20,2,FALSE),0)</x:f>
        <x:v>9</x:v>
      </x:c>
      <x:c r="T48" s="93" t="n">
        <x:f>ROUND(SUM(N48:S48),1)</x:f>
        <x:v>76.7</x:v>
      </x:c>
      <x:c r="U48" s="76" t="str">
        <x:f>IF(OR(H48="Source available",H48="Unlicensed / unclear"),"No","Yes")</x:f>
        <x:v>Yes</x:v>
      </x:c>
      <x:c r="V48" s="76" t="str">
        <x:f>IF(I48&gt;=20000,"Established",IF(I48&gt;=5000,"Mature",IF(I48&gt;=1000,"Growing","Early")))</x:f>
        <x:v>Early</x:v>
      </x:c>
      <x:c r="W48" s="83" t="str">
        <x:f>IF(U48&lt;&gt;"Yes","Watchlist",IF(T48&gt;=80,"Strong shortlist",IF(T48&gt;=68,"Pilot",IF(T48&gt;=55,"Evaluate","Monitor"))))</x:f>
        <x:v>Pilot</x:v>
      </x:c>
      <x:c r="X48" s="83" t="str">
        <x:v>https://github.com/SuiteCRM/SuiteCRM-Core</x:v>
      </x:c>
      <x:c r="Y48" s="83" t="str">
        <x:v>https://www.suitecrm.com</x:v>
      </x:c>
      <x:c r="Z48" s="94" t="n">
        <x:v>46223</x:v>
      </x:c>
    </x:row>
    <x:row r="49" ht="15" hidden="0" customHeight="1">
      <x:c r="A49" s="76" t="n">
        <x:f>IF(U49="Yes",COUNTIFS($U$3:$U$55,"Yes",$T$3:$T$55,"&gt;"&amp;T49)+1,"")</x:f>
        <x:v>47</x:v>
      </x:c>
      <x:c r="B49" s="76" t="n">
        <x:f>IF(U49="Yes",COUNTIFS($D$3:$D$55,D49,$T$3:$T$55,"&gt;"&amp;T49)+1,"")</x:f>
        <x:v>4</x:v>
      </x:c>
      <x:c r="C49" s="83" t="str">
        <x:v>Keila</x:v>
      </x:c>
      <x:c r="D49" s="83" t="str">
        <x:v>Marketing Automation &amp; Email</x:v>
      </x:c>
      <x:c r="E49" s="83" t="str">
        <x:v>Mailchimp; Buttondown</x:v>
      </x:c>
      <x:c r="F49" s="83" t="str">
        <x:v>Newsletter tool with campaigns, forms and segments.</x:v>
      </x:c>
      <x:c r="G49" s="83" t="str">
        <x:v>AGPL-3.0</x:v>
      </x:c>
      <x:c r="H49" s="83" t="str">
        <x:v>Copyleft open source</x:v>
      </x:c>
      <x:c r="I49" s="91" t="n">
        <x:v>2164</x:v>
      </x:c>
      <x:c r="J49" s="91" t="n">
        <x:v>158</x:v>
      </x:c>
      <x:c r="K49" s="91" t="n">
        <x:v>66</x:v>
      </x:c>
      <x:c r="L49" s="92" t="n">
        <x:v>46203.66236111111</x:v>
      </x:c>
      <x:c r="M49" s="76" t="n">
        <x:f>MAX(0,INT('Scoring Method'!$G$20)-INT(L49))</x:f>
        <x:v>20</x:v>
      </x:c>
      <x:c r="N49" s="93" t="n">
        <x:f>ROUND(MIN(25,25*LN(I49+1)/LN(MAX($I$3:$I$55)+1)),1)</x:f>
        <x:v>16.1</x:v>
      </x:c>
      <x:c r="O49" s="93" t="n">
        <x:f>ROUND(MIN(15,15*LN(J49+1)/LN(MAX($J$3:$J$55)+1)),1)</x:f>
        <x:v>7.5</x:v>
      </x:c>
      <x:c r="P49" s="93" t="n">
        <x:f>IF(M49&lt;=7,20,IF(M49&lt;=30,18,IF(M49&lt;=90,14,IF(M49&lt;=180,10,IF(M49&lt;=365,5,0)))))</x:f>
        <x:v>18</x:v>
      </x:c>
      <x:c r="Q49" s="93" t="n">
        <x:v>12</x:v>
      </x:c>
      <x:c r="R49" s="93" t="n">
        <x:v>13</x:v>
      </x:c>
      <x:c r="S49" s="93" t="n">
        <x:f>IFERROR(VLOOKUP(H49,'Scoring Method'!$A$15:$B$20,2,FALSE),0)</x:f>
        <x:v>9</x:v>
      </x:c>
      <x:c r="T49" s="93" t="n">
        <x:f>ROUND(SUM(N49:S49),1)</x:f>
        <x:v>75.6</x:v>
      </x:c>
      <x:c r="U49" s="76" t="str">
        <x:f>IF(OR(H49="Source available",H49="Unlicensed / unclear"),"No","Yes")</x:f>
        <x:v>Yes</x:v>
      </x:c>
      <x:c r="V49" s="76" t="str">
        <x:f>IF(I49&gt;=20000,"Established",IF(I49&gt;=5000,"Mature",IF(I49&gt;=1000,"Growing","Early")))</x:f>
        <x:v>Growing</x:v>
      </x:c>
      <x:c r="W49" s="83" t="str">
        <x:f>IF(U49&lt;&gt;"Yes","Watchlist",IF(T49&gt;=80,"Strong shortlist",IF(T49&gt;=68,"Pilot",IF(T49&gt;=55,"Evaluate","Monitor"))))</x:f>
        <x:v>Pilot</x:v>
      </x:c>
      <x:c r="X49" s="83" t="str">
        <x:v>https://github.com/pentacent/keila</x:v>
      </x:c>
      <x:c r="Y49" s="83" t="str">
        <x:v>https://keila.io</x:v>
      </x:c>
      <x:c r="Z49" s="94" t="n">
        <x:v>46223</x:v>
      </x:c>
    </x:row>
    <x:row r="50" ht="15" hidden="0" customHeight="1">
      <x:c r="A50" s="76" t="n">
        <x:f>IF(U50="Yes",COUNTIFS($U$3:$U$55,"Yes",$T$3:$T$55,"&gt;"&amp;T50)+1,"")</x:f>
        <x:v>48</x:v>
      </x:c>
      <x:c r="B50" s="76" t="n">
        <x:f>IF(U50="Yes",COUNTIFS($D$3:$D$55,D50,$T$3:$T$55,"&gt;"&amp;T50)+1,"")</x:f>
        <x:v>6</x:v>
      </x:c>
      <x:c r="C50" s="83" t="str">
        <x:v>Marp</x:v>
      </x:c>
      <x:c r="D50" s="83" t="str">
        <x:v>Creative &amp; Content</x:v>
      </x:c>
      <x:c r="E50" s="83" t="str">
        <x:v>Gamma; PowerPoint</x:v>
      </x:c>
      <x:c r="F50" s="83" t="str">
        <x:v>Markdown presentation ecosystem.</x:v>
      </x:c>
      <x:c r="G50" s="83" t="str">
        <x:v>MIT</x:v>
      </x:c>
      <x:c r="H50" s="83" t="str">
        <x:v>Permissive open source</x:v>
      </x:c>
      <x:c r="I50" s="91" t="n">
        <x:v>12215</x:v>
      </x:c>
      <x:c r="J50" s="91" t="n">
        <x:v>288</x:v>
      </x:c>
      <x:c r="K50" s="91" t="n">
        <x:v>1</x:v>
      </x:c>
      <x:c r="L50" s="92" t="n">
        <x:v>46143.80762731482</x:v>
      </x:c>
      <x:c r="M50" s="76" t="n">
        <x:f>MAX(0,INT('Scoring Method'!$G$20)-INT(L50))</x:f>
        <x:v>80</x:v>
      </x:c>
      <x:c r="N50" s="93" t="n">
        <x:f>ROUND(MIN(25,25*LN(I50+1)/LN(MAX($I$3:$I$55)+1)),1)</x:f>
        <x:v>19.7</x:v>
      </x:c>
      <x:c r="O50" s="93" t="n">
        <x:f>ROUND(MIN(15,15*LN(J50+1)/LN(MAX($J$3:$J$55)+1)),1)</x:f>
        <x:v>8.4</x:v>
      </x:c>
      <x:c r="P50" s="93" t="n">
        <x:f>IF(M50&lt;=7,20,IF(M50&lt;=30,18,IF(M50&lt;=90,14,IF(M50&lt;=180,10,IF(M50&lt;=365,5,0)))))</x:f>
        <x:v>14</x:v>
      </x:c>
      <x:c r="Q50" s="93" t="n">
        <x:v>14</x:v>
      </x:c>
      <x:c r="R50" s="93" t="n">
        <x:v>8</x:v>
      </x:c>
      <x:c r="S50" s="93" t="n">
        <x:f>IFERROR(VLOOKUP(H50,'Scoring Method'!$A$15:$B$20,2,FALSE),0)</x:f>
        <x:v>10</x:v>
      </x:c>
      <x:c r="T50" s="93" t="n">
        <x:f>ROUND(SUM(N50:S50),1)</x:f>
        <x:v>74.1</x:v>
      </x:c>
      <x:c r="U50" s="76" t="str">
        <x:f>IF(OR(H50="Source available",H50="Unlicensed / unclear"),"No","Yes")</x:f>
        <x:v>Yes</x:v>
      </x:c>
      <x:c r="V50" s="76" t="str">
        <x:f>IF(I50&gt;=20000,"Established",IF(I50&gt;=5000,"Mature",IF(I50&gt;=1000,"Growing","Early")))</x:f>
        <x:v>Mature</x:v>
      </x:c>
      <x:c r="W50" s="83" t="str">
        <x:f>IF(U50&lt;&gt;"Yes","Watchlist",IF(T50&gt;=80,"Strong shortlist",IF(T50&gt;=68,"Pilot",IF(T50&gt;=55,"Evaluate","Monitor"))))</x:f>
        <x:v>Pilot</x:v>
      </x:c>
      <x:c r="X50" s="83" t="str">
        <x:v>https://github.com/marp-team/marp</x:v>
      </x:c>
      <x:c r="Y50" s="83" t="str">
        <x:v>https://marp.app/</x:v>
      </x:c>
      <x:c r="Z50" s="94" t="n">
        <x:v>46223</x:v>
      </x:c>
    </x:row>
    <x:row r="51" ht="24" hidden="0" customHeight="1">
      <x:c r="A51" s="76" t="n">
        <x:f>IF(U51="Yes",COUNTIFS($U$3:$U$55,"Yes",$T$3:$T$55,"&gt;"&amp;T51)+1,"")</x:f>
        <x:v>49</x:v>
      </x:c>
      <x:c r="B51" s="76" t="n">
        <x:f>IF(U51="Yes",COUNTIFS($D$3:$D$55,D51,$T$3:$T$55,"&gt;"&amp;T51)+1,"")</x:f>
        <x:v>5</x:v>
      </x:c>
      <x:c r="C51" s="83" t="str">
        <x:v>Dittofeed</x:v>
      </x:c>
      <x:c r="D51" s="83" t="str">
        <x:v>Marketing Automation &amp; Email</x:v>
      </x:c>
      <x:c r="E51" s="83" t="str">
        <x:v>Customer.io; Braze</x:v>
      </x:c>
      <x:c r="F51" s="83" t="str">
        <x:v>Customer engagement workflows for email and messaging.</x:v>
      </x:c>
      <x:c r="G51" s="83" t="str">
        <x:v>MIT</x:v>
      </x:c>
      <x:c r="H51" s="83" t="str">
        <x:v>Permissive open source</x:v>
      </x:c>
      <x:c r="I51" s="91" t="n">
        <x:v>2865</x:v>
      </x:c>
      <x:c r="J51" s="91" t="n">
        <x:v>368</x:v>
      </x:c>
      <x:c r="K51" s="91" t="n">
        <x:v>48</x:v>
      </x:c>
      <x:c r="L51" s="92" t="n">
        <x:v>46109.73630787037</x:v>
      </x:c>
      <x:c r="M51" s="76" t="n">
        <x:f>MAX(0,INT('Scoring Method'!$G$20)-INT(L51))</x:f>
        <x:v>114</x:v>
      </x:c>
      <x:c r="N51" s="93" t="n">
        <x:f>ROUND(MIN(25,25*LN(I51+1)/LN(MAX($I$3:$I$55)+1)),1)</x:f>
        <x:v>16.7</x:v>
      </x:c>
      <x:c r="O51" s="93" t="n">
        <x:f>ROUND(MIN(15,15*LN(J51+1)/LN(MAX($J$3:$J$55)+1)),1)</x:f>
        <x:v>8.8</x:v>
      </x:c>
      <x:c r="P51" s="93" t="n">
        <x:f>IF(M51&lt;=7,20,IF(M51&lt;=30,18,IF(M51&lt;=90,14,IF(M51&lt;=180,10,IF(M51&lt;=365,5,0)))))</x:f>
        <x:v>10</x:v>
      </x:c>
      <x:c r="Q51" s="93" t="n">
        <x:v>13</x:v>
      </x:c>
      <x:c r="R51" s="93" t="n">
        <x:v>15</x:v>
      </x:c>
      <x:c r="S51" s="93" t="n">
        <x:f>IFERROR(VLOOKUP(H51,'Scoring Method'!$A$15:$B$20,2,FALSE),0)</x:f>
        <x:v>10</x:v>
      </x:c>
      <x:c r="T51" s="93" t="n">
        <x:f>ROUND(SUM(N51:S51),1)</x:f>
        <x:v>73.5</x:v>
      </x:c>
      <x:c r="U51" s="76" t="str">
        <x:f>IF(OR(H51="Source available",H51="Unlicensed / unclear"),"No","Yes")</x:f>
        <x:v>Yes</x:v>
      </x:c>
      <x:c r="V51" s="76" t="str">
        <x:f>IF(I51&gt;=20000,"Established",IF(I51&gt;=5000,"Mature",IF(I51&gt;=1000,"Growing","Early")))</x:f>
        <x:v>Growing</x:v>
      </x:c>
      <x:c r="W51" s="83" t="str">
        <x:f>IF(U51&lt;&gt;"Yes","Watchlist",IF(T51&gt;=80,"Strong shortlist",IF(T51&gt;=68,"Pilot",IF(T51&gt;=55,"Evaluate","Monitor"))))</x:f>
        <x:v>Pilot</x:v>
      </x:c>
      <x:c r="X51" s="83" t="str">
        <x:v>https://github.com/dittofeed/dittofeed</x:v>
      </x:c>
      <x:c r="Y51" s="83" t="str">
        <x:v>https://dittofeed.com/</x:v>
      </x:c>
      <x:c r="Z51" s="94" t="n">
        <x:v>46223</x:v>
      </x:c>
    </x:row>
    <x:row r="52" ht="15" hidden="0" customHeight="1">
      <x:c r="A52" s="76" t="n">
        <x:f>IF(U52="Yes",COUNTIFS($U$3:$U$55,"Yes",$T$3:$T$55,"&gt;"&amp;T52)+1,"")</x:f>
        <x:v>50</x:v>
      </x:c>
      <x:c r="B52" s="76" t="n">
        <x:f>IF(U52="Yes",COUNTIFS($D$3:$D$55,D52,$T$3:$T$55,"&gt;"&amp;T52)+1,"")</x:f>
        <x:v>4</x:v>
      </x:c>
      <x:c r="C52" s="83" t="str">
        <x:v>Automatisch</x:v>
      </x:c>
      <x:c r="D52" s="83" t="str">
        <x:v>Workflow Automation</x:v>
      </x:c>
      <x:c r="E52" s="83" t="str">
        <x:v>Zapier; Make</x:v>
      </x:c>
      <x:c r="F52" s="83" t="str">
        <x:v>Self-hosted business workflow automation.</x:v>
      </x:c>
      <x:c r="G52" s="83" t="str">
        <x:v>AGPL-3.0 core + enterprise files</x:v>
      </x:c>
      <x:c r="H52" s="83" t="str">
        <x:v>Open core (copyleft)</x:v>
      </x:c>
      <x:c r="I52" s="91" t="n">
        <x:v>13892</x:v>
      </x:c>
      <x:c r="J52" s="91" t="n">
        <x:v>1059</x:v>
      </x:c>
      <x:c r="K52" s="91" t="n">
        <x:v>283</x:v>
      </x:c>
      <x:c r="L52" s="92" t="n">
        <x:v>46064.828518518516</x:v>
      </x:c>
      <x:c r="M52" s="76" t="n">
        <x:f>MAX(0,INT('Scoring Method'!$G$20)-INT(L52))</x:f>
        <x:v>159</x:v>
      </x:c>
      <x:c r="N52" s="93" t="n">
        <x:f>ROUND(MIN(25,25*LN(I52+1)/LN(MAX($I$3:$I$55)+1)),1)</x:f>
        <x:v>20</x:v>
      </x:c>
      <x:c r="O52" s="93" t="n">
        <x:f>ROUND(MIN(15,15*LN(J52+1)/LN(MAX($J$3:$J$55)+1)),1)</x:f>
        <x:v>10.3</x:v>
      </x:c>
      <x:c r="P52" s="93" t="n">
        <x:f>IF(M52&lt;=7,20,IF(M52&lt;=30,18,IF(M52&lt;=90,14,IF(M52&lt;=180,10,IF(M52&lt;=365,5,0)))))</x:f>
        <x:v>10</x:v>
      </x:c>
      <x:c r="Q52" s="93" t="n">
        <x:v>13</x:v>
      </x:c>
      <x:c r="R52" s="93" t="n">
        <x:v>13</x:v>
      </x:c>
      <x:c r="S52" s="93" t="n">
        <x:f>IFERROR(VLOOKUP(H52,'Scoring Method'!$A$15:$B$20,2,FALSE),0)</x:f>
        <x:v>7</x:v>
      </x:c>
      <x:c r="T52" s="93" t="n">
        <x:f>ROUND(SUM(N52:S52),1)</x:f>
        <x:v>73.3</x:v>
      </x:c>
      <x:c r="U52" s="76" t="str">
        <x:f>IF(OR(H52="Source available",H52="Unlicensed / unclear"),"No","Yes")</x:f>
        <x:v>Yes</x:v>
      </x:c>
      <x:c r="V52" s="76" t="str">
        <x:f>IF(I52&gt;=20000,"Established",IF(I52&gt;=5000,"Mature",IF(I52&gt;=1000,"Growing","Early")))</x:f>
        <x:v>Mature</x:v>
      </x:c>
      <x:c r="W52" s="83" t="str">
        <x:f>IF(U52&lt;&gt;"Yes","Watchlist",IF(T52&gt;=80,"Strong shortlist",IF(T52&gt;=68,"Pilot",IF(T52&gt;=55,"Evaluate","Monitor"))))</x:f>
        <x:v>Pilot</x:v>
      </x:c>
      <x:c r="X52" s="83" t="str">
        <x:v>https://github.com/automatisch/automatisch</x:v>
      </x:c>
      <x:c r="Y52" s="83" t="str">
        <x:v>https://automatisch.io</x:v>
      </x:c>
      <x:c r="Z52" s="94" t="n">
        <x:v>46223</x:v>
      </x:c>
    </x:row>
    <x:row r="53" ht="24" hidden="0" customHeight="1">
      <x:c r="A53" s="76" t="str">
        <x:f>IF(U53="Yes",COUNTIFS($U$3:$U$55,"Yes",$T$3:$T$55,"&gt;"&amp;T53)+1,"")</x:f>
      </x:c>
      <x:c r="B53" s="76" t="str">
        <x:f>IF(U53="Yes",COUNTIFS($D$3:$D$55,D53,$T$3:$T$55,"&gt;"&amp;T53)+1,"")</x:f>
      </x:c>
      <x:c r="C53" s="83" t="str">
        <x:v>Dify</x:v>
      </x:c>
      <x:c r="D53" s="83" t="str">
        <x:v>Agent &amp; GTM Developer Tools</x:v>
      </x:c>
      <x:c r="E53" s="83" t="str">
        <x:v>AirOps; proprietary agent builders</x:v>
      </x:c>
      <x:c r="F53" s="83" t="str">
        <x:v>Agent and language-model application platform.</x:v>
      </x:c>
      <x:c r="G53" s="83" t="str">
        <x:v>Modified Apache-2.0 with added restrictions</x:v>
      </x:c>
      <x:c r="H53" s="83" t="str">
        <x:v>Source available</x:v>
      </x:c>
      <x:c r="I53" s="91" t="n">
        <x:v>149491</x:v>
      </x:c>
      <x:c r="J53" s="91" t="n">
        <x:v>23558</x:v>
      </x:c>
      <x:c r="K53" s="91" t="n">
        <x:v>1085</x:v>
      </x:c>
      <x:c r="L53" s="92" t="n">
        <x:v>46223.70140046296</x:v>
      </x:c>
      <x:c r="M53" s="76" t="n">
        <x:f>MAX(0,INT('Scoring Method'!$G$20)-INT(L53))</x:f>
        <x:v>0</x:v>
      </x:c>
      <x:c r="N53" s="93" t="n">
        <x:f>ROUND(MIN(25,25*LN(I53+1)/LN(MAX($I$3:$I$55)+1)),1)</x:f>
        <x:v>25</x:v>
      </x:c>
      <x:c r="O53" s="93" t="n">
        <x:f>ROUND(MIN(15,15*LN(J53+1)/LN(MAX($J$3:$J$55)+1)),1)</x:f>
        <x:v>14.9</x:v>
      </x:c>
      <x:c r="P53" s="93" t="n">
        <x:f>IF(M53&lt;=7,20,IF(M53&lt;=30,18,IF(M53&lt;=90,14,IF(M53&lt;=180,10,IF(M53&lt;=365,5,0)))))</x:f>
        <x:v>20</x:v>
      </x:c>
      <x:c r="Q53" s="93" t="n">
        <x:v>14</x:v>
      </x:c>
      <x:c r="R53" s="93" t="n">
        <x:v>11</x:v>
      </x:c>
      <x:c r="S53" s="93" t="n">
        <x:f>IFERROR(VLOOKUP(H53,'Scoring Method'!$A$15:$B$20,2,FALSE),0)</x:f>
        <x:v>2</x:v>
      </x:c>
      <x:c r="T53" s="93" t="n">
        <x:f>ROUND(SUM(N53:S53),1)</x:f>
        <x:v>86.9</x:v>
      </x:c>
      <x:c r="U53" s="76" t="str">
        <x:f>IF(OR(H53="Source available",H53="Unlicensed / unclear"),"No","Yes")</x:f>
        <x:v>No</x:v>
      </x:c>
      <x:c r="V53" s="76" t="str">
        <x:f>IF(I53&gt;=20000,"Established",IF(I53&gt;=5000,"Mature",IF(I53&gt;=1000,"Growing","Early")))</x:f>
        <x:v>Established</x:v>
      </x:c>
      <x:c r="W53" s="83" t="str">
        <x:f>IF(U53&lt;&gt;"Yes","Watchlist",IF(T53&gt;=80,"Strong shortlist",IF(T53&gt;=68,"Pilot",IF(T53&gt;=55,"Evaluate","Monitor"))))</x:f>
        <x:v>Watchlist</x:v>
      </x:c>
      <x:c r="X53" s="83" t="str">
        <x:v>https://github.com/langgenius/dify</x:v>
      </x:c>
      <x:c r="Y53" s="83" t="str">
        <x:v>https://dify.ai</x:v>
      </x:c>
      <x:c r="Z53" s="94" t="n">
        <x:v>46223</x:v>
      </x:c>
    </x:row>
    <x:row r="54" ht="15" hidden="0" customHeight="1">
      <x:c r="A54" s="76" t="str">
        <x:f>IF(U54="Yes",COUNTIFS($U$3:$U$55,"Yes",$T$3:$T$55,"&gt;"&amp;T54)+1,"")</x:f>
      </x:c>
      <x:c r="B54" s="76" t="str">
        <x:f>IF(U54="Yes",COUNTIFS($D$3:$D$55,D54,$T$3:$T$55,"&gt;"&amp;T54)+1,"")</x:f>
      </x:c>
      <x:c r="C54" s="83" t="str">
        <x:v>Typebot</x:v>
      </x:c>
      <x:c r="D54" s="83" t="str">
        <x:v>Forms, Surveys &amp; Conversion</x:v>
      </x:c>
      <x:c r="E54" s="83" t="str">
        <x:v>Typeform; Intercom chat flows</x:v>
      </x:c>
      <x:c r="F54" s="83" t="str">
        <x:v>Conversational form builder and embeddable chat flows.</x:v>
      </x:c>
      <x:c r="G54" s="83" t="str">
        <x:v>FSL-1.1-Apache-2.0 future licence</x:v>
      </x:c>
      <x:c r="H54" s="83" t="str">
        <x:v>Source available</x:v>
      </x:c>
      <x:c r="I54" s="91" t="n">
        <x:v>10172</x:v>
      </x:c>
      <x:c r="J54" s="91" t="n">
        <x:v>3149</x:v>
      </x:c>
      <x:c r="K54" s="91" t="n">
        <x:v>192</x:v>
      </x:c>
      <x:c r="L54" s="92" t="n">
        <x:v>46218.7040162037</x:v>
      </x:c>
      <x:c r="M54" s="76" t="n">
        <x:f>MAX(0,INT('Scoring Method'!$G$20)-INT(L54))</x:f>
        <x:v>5</x:v>
      </x:c>
      <x:c r="N54" s="93" t="n">
        <x:f>ROUND(MIN(25,25*LN(I54+1)/LN(MAX($I$3:$I$55)+1)),1)</x:f>
        <x:v>19.4</x:v>
      </x:c>
      <x:c r="O54" s="93" t="n">
        <x:f>ROUND(MIN(15,15*LN(J54+1)/LN(MAX($J$3:$J$55)+1)),1)</x:f>
        <x:v>11.9</x:v>
      </x:c>
      <x:c r="P54" s="93" t="n">
        <x:f>IF(M54&lt;=7,20,IF(M54&lt;=30,18,IF(M54&lt;=90,14,IF(M54&lt;=180,10,IF(M54&lt;=365,5,0)))))</x:f>
        <x:v>20</x:v>
      </x:c>
      <x:c r="Q54" s="93" t="n">
        <x:v>14</x:v>
      </x:c>
      <x:c r="R54" s="93" t="n">
        <x:v>14</x:v>
      </x:c>
      <x:c r="S54" s="93" t="n">
        <x:f>IFERROR(VLOOKUP(H54,'Scoring Method'!$A$15:$B$20,2,FALSE),0)</x:f>
        <x:v>2</x:v>
      </x:c>
      <x:c r="T54" s="93" t="n">
        <x:f>ROUND(SUM(N54:S54),1)</x:f>
        <x:v>81.3</x:v>
      </x:c>
      <x:c r="U54" s="76" t="str">
        <x:f>IF(OR(H54="Source available",H54="Unlicensed / unclear"),"No","Yes")</x:f>
        <x:v>No</x:v>
      </x:c>
      <x:c r="V54" s="76" t="str">
        <x:f>IF(I54&gt;=20000,"Established",IF(I54&gt;=5000,"Mature",IF(I54&gt;=1000,"Growing","Early")))</x:f>
        <x:v>Mature</x:v>
      </x:c>
      <x:c r="W54" s="83" t="str">
        <x:f>IF(U54&lt;&gt;"Yes","Watchlist",IF(T54&gt;=80,"Strong shortlist",IF(T54&gt;=68,"Pilot",IF(T54&gt;=55,"Evaluate","Monitor"))))</x:f>
        <x:v>Watchlist</x:v>
      </x:c>
      <x:c r="X54" s="83" t="str">
        <x:v>https://github.com/baptisteArno/typebot.io</x:v>
      </x:c>
      <x:c r="Y54" s="83" t="str">
        <x:v>https://typebot.io</x:v>
      </x:c>
      <x:c r="Z54" s="94" t="n">
        <x:v>46223</x:v>
      </x:c>
    </x:row>
    <x:row r="55" ht="24" hidden="0" customHeight="1">
      <x:c r="A55" s="76" t="str">
        <x:f>IF(U55="Yes",COUNTIFS($U$3:$U$55,"Yes",$T$3:$T$55,"&gt;"&amp;T55)+1,"")</x:f>
      </x:c>
      <x:c r="B55" s="76" t="str">
        <x:f>IF(U55="Yes",COUNTIFS($D$3:$D$55,D55,$T$3:$T$55,"&gt;"&amp;T55)+1,"")</x:f>
      </x:c>
      <x:c r="C55" s="83" t="str">
        <x:v>GEO/AEO Tracker</x:v>
      </x:c>
      <x:c r="D55" s="83" t="str">
        <x:v>AI Answer Visibility</x:v>
      </x:c>
      <x:c r="E55" s="83" t="str">
        <x:v>Profound; Scrunch AI; Peec AI</x:v>
      </x:c>
      <x:c r="F55" s="83" t="str">
        <x:v>Early local-first tracker for brand visibility in AI answers.</x:v>
      </x:c>
      <x:c r="G55" s="83" t="str">
        <x:v>No licence file found</x:v>
      </x:c>
      <x:c r="H55" s="83" t="str">
        <x:v>Unlicensed / unclear</x:v>
      </x:c>
      <x:c r="I55" s="91" t="n">
        <x:v>200</x:v>
      </x:c>
      <x:c r="J55" s="91" t="n">
        <x:v>50</x:v>
      </x:c>
      <x:c r="K55" s="91" t="n">
        <x:v>1</x:v>
      </x:c>
      <x:c r="L55" s="92" t="n">
        <x:v>46193.601331018515</x:v>
      </x:c>
      <x:c r="M55" s="76" t="n">
        <x:f>MAX(0,INT('Scoring Method'!$G$20)-INT(L55))</x:f>
        <x:v>30</x:v>
      </x:c>
      <x:c r="N55" s="93" t="n">
        <x:f>ROUND(MIN(25,25*LN(I55+1)/LN(MAX($I$3:$I$55)+1)),1)</x:f>
        <x:v>11.1</x:v>
      </x:c>
      <x:c r="O55" s="93" t="n">
        <x:f>ROUND(MIN(15,15*LN(J55+1)/LN(MAX($J$3:$J$55)+1)),1)</x:f>
        <x:v>5.8</x:v>
      </x:c>
      <x:c r="P55" s="93" t="n">
        <x:f>IF(M55&lt;=7,20,IF(M55&lt;=30,18,IF(M55&lt;=90,14,IF(M55&lt;=180,10,IF(M55&lt;=365,5,0)))))</x:f>
        <x:v>18</x:v>
      </x:c>
      <x:c r="Q55" s="93" t="n">
        <x:v>9</x:v>
      </x:c>
      <x:c r="R55" s="93" t="n">
        <x:v>15</x:v>
      </x:c>
      <x:c r="S55" s="93" t="n">
        <x:f>IFERROR(VLOOKUP(H55,'Scoring Method'!$A$15:$B$20,2,FALSE),0)</x:f>
        <x:v>0</x:v>
      </x:c>
      <x:c r="T55" s="93" t="n">
        <x:f>ROUND(SUM(N55:S55),1)</x:f>
        <x:v>58.9</x:v>
      </x:c>
      <x:c r="U55" s="76" t="str">
        <x:f>IF(OR(H55="Source available",H55="Unlicensed / unclear"),"No","Yes")</x:f>
        <x:v>No</x:v>
      </x:c>
      <x:c r="V55" s="76" t="str">
        <x:f>IF(I55&gt;=20000,"Established",IF(I55&gt;=5000,"Mature",IF(I55&gt;=1000,"Growing","Early")))</x:f>
        <x:v>Early</x:v>
      </x:c>
      <x:c r="W55" s="83" t="str">
        <x:f>IF(U55&lt;&gt;"Yes","Watchlist",IF(T55&gt;=80,"Strong shortlist",IF(T55&gt;=68,"Pilot",IF(T55&gt;=55,"Evaluate","Monitor"))))</x:f>
        <x:v>Watchlist</x:v>
      </x:c>
      <x:c r="X55" s="83" t="str">
        <x:v>https://github.com/danishashko/geo-aeo-tracker</x:v>
      </x:c>
      <x:c r="Y55" s="83" t="str">
        <x:v>https://www.linkedin.com/in/daniel-shashko/</x:v>
      </x:c>
      <x:c r="Z55" s="94" t="n">
        <x:v>46223</x:v>
      </x:c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Z1"/>
  </x:mergeCells>
  <x:conditionalFormatting sqref="T3:T55">
    <x:cfRule type="dataBar" priority="1">
      <x:dataBar>
        <x:cfvo type="min"/>
        <x:cfvo type="max"/>
        <x:color rgb="FFD78118"/>
      </x:dataBar>
      <x:extLst>
        <x:ext xmlns:x14="http://schemas.microsoft.com/office/spreadsheetml/2009/9/main" uri="{B025F937-C7B1-47D3-B67F-A62EFF666E3E}">
          <x14:id>{42B4C354-659E-4331-466A-66C55A33B7BF}</x14:id>
        </x:ext>
      </x:extLst>
    </x:cfRule>
  </x:conditionalFormatting>
  <x:conditionalFormatting sqref="U3:U55">
    <x:cfRule type="containsText" dxfId="0" priority="2" operator="containsText" text="No"/>
  </x:conditionalFormatting>
  <x:conditionalFormatting sqref="W3:W55">
    <x:cfRule type="containsText" dxfId="1" priority="3" operator="containsText" text="Strong shortlist"/>
  </x:conditionalFormatting>
  <x:pageMargins left="0.7" right="0.7" top="0.75" bottom="0.75" header="0.3" footer="0.3"/>
  <x:legacyDrawing xmlns:r="http://schemas.openxmlformats.org/officeDocument/2006/relationships" r:id="Rbf7bb67b5a0b4460"/>
  <x:tableParts count="1">
    <x:tablePart xmlns:r="http://schemas.openxmlformats.org/officeDocument/2006/relationships" r:id="Rf6ac00aa9b4245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B4C354-659E-4331-466A-66C55A33B7BF}">
            <x14:dataBar gradient="1">
              <x14:cfvo type="min"/>
              <x14:cfvo type="max"/>
              <x14:fillColor rgb="FFD78118"/>
            </x14:dataBar>
          </x14:cfRule>
          <xm:sqref>T3:T55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8" hidden="0" customWidth="1"/>
    <x:col min="8" max="8" width="50" hidden="0" customWidth="1"/>
  </x:cols>
  <x:sheetData>
    <x:row r="1" ht="36" hidden="0" customHeight="1">
      <x:c r="A1" s="73" t="str">
        <x:v>Category leaders and coverage gaps</x:v>
      </x:c>
      <x:c r="B1" s="73" t="str">
        <x:v>Category leaders and coverage gaps</x:v>
      </x:c>
      <x:c r="C1" s="73" t="str">
        <x:v>Category leaders and coverage gaps</x:v>
      </x:c>
      <x:c r="D1" s="73" t="str">
        <x:v>Category leaders and coverage gaps</x:v>
      </x:c>
      <x:c r="E1" s="73" t="str">
        <x:v>Category leaders and coverage gaps</x:v>
      </x:c>
      <x:c r="F1" s="73" t="str">
        <x:v>Category leaders and coverage gaps</x:v>
      </x:c>
      <x:c r="G1" s="73" t="str">
        <x:v>Category leaders and coverage gaps</x:v>
      </x:c>
      <x:c r="H1" s="73" t="str">
        <x:v>Category leaders and coverage gaps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82" t="str">
        <x:v>Category</x:v>
      </x:c>
      <x:c r="B2" s="82" t="str">
        <x:v>Eligible tools</x:v>
      </x:c>
      <x:c r="C2" s="82" t="str">
        <x:v>Current leader</x:v>
      </x:c>
      <x:c r="D2" s="82" t="str">
        <x:v>Leader score</x:v>
      </x:c>
      <x:c r="E2" s="82" t="str">
        <x:v>Leader stars</x:v>
      </x:c>
      <x:c r="F2" s="82" t="str">
        <x:v>Average score</x:v>
      </x:c>
      <x:c r="G2" s="82" t="str">
        <x:v>Market state</x:v>
      </x:c>
      <x:c r="H2" s="82" t="str">
        <x:v>Design copy</x:v>
      </x:c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24" hidden="0" customHeight="1">
      <x:c r="A3" s="83" t="str">
        <x:v>AI Answer Visibility</x:v>
      </x:c>
      <x:c r="B3" s="83" t="n">
        <x:f>COUNTIFS('Tool Rankings'!$D$3:$D$55,A3,'Tool Rankings'!$U$3:$U$55,"Yes")</x:f>
        <x:v>0</x:v>
      </x:c>
      <x:c r="C3" s="83" t="str">
        <x:v>No ranked project</x:v>
      </x:c>
      <x:c r="D3" s="84"/>
      <x:c r="E3" s="85"/>
      <x:c r="F3" s="84" t="str">
        <x:f>IF(B3=0,"",ROUND(AVERAGEIFS('Tool Rankings'!$T$3:$T$55,'Tool Rankings'!$D$3:$D$55,A3,'Tool Rankings'!$U$3:$U$55,"Yes"),1))</x:f>
      </x:c>
      <x:c r="G3" s="83" t="str">
        <x:v>Early</x:v>
      </x:c>
      <x:c r="H3" s="83" t="str">
        <x:v>Only one researched project, and its licence is not yet clear; keep this category visibly experimental.</x:v>
      </x:c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24" hidden="0" customHeight="1">
      <x:c r="A4" s="83" t="str">
        <x:v>Agent &amp; GTM Developer Tools</x:v>
      </x:c>
      <x:c r="B4" s="83" t="n">
        <x:f>COUNTIFS('Tool Rankings'!$D$3:$D$55,A4,'Tool Rankings'!$U$3:$U$55,"Yes")</x:f>
        <x:v>5</x:v>
      </x:c>
      <x:c r="C4" s="83" t="str">
        <x:f>'Tool Rankings'!C10</x:f>
        <x:v>LangChain</x:v>
      </x:c>
      <x:c r="D4" s="84" t="n">
        <x:f>'Tool Rankings'!T10</x:f>
        <x:v>90.8</x:v>
      </x:c>
      <x:c r="E4" s="85" t="n">
        <x:f>'Tool Rankings'!I10</x:f>
        <x:v>142171</x:v>
      </x:c>
      <x:c r="F4" s="84" t="n">
        <x:f>IF(B4=0,"",ROUND(AVERAGEIFS('Tool Rankings'!$T$3:$T$55,'Tool Rankings'!$D$3:$D$55,A4,'Tool Rankings'!$U$3:$U$55,"Yes"),1))</x:f>
        <x:v>87.9</x:v>
      </x:c>
      <x:c r="G4" s="83" t="str">
        <x:v>Established choices</x:v>
      </x:c>
      <x:c r="H4" s="83" t="str">
        <x:v>5 eligible projects; compare deployment effort and licence duties before choosing.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24" hidden="0" customHeight="1">
      <x:c r="A5" s="83" t="str">
        <x:v>Analytics &amp; Experimentation</x:v>
      </x:c>
      <x:c r="B5" s="83" t="n">
        <x:f>COUNTIFS('Tool Rankings'!$D$3:$D$55,A5,'Tool Rankings'!$U$3:$U$55,"Yes")</x:f>
        <x:v>6</x:v>
      </x:c>
      <x:c r="C5" s="83" t="str">
        <x:f>'Tool Rankings'!C5</x:f>
        <x:v>Umami</x:v>
      </x:c>
      <x:c r="D5" s="84" t="n">
        <x:f>'Tool Rankings'!T5</x:f>
        <x:v>93.3</x:v>
      </x:c>
      <x:c r="E5" s="85" t="n">
        <x:f>'Tool Rankings'!I5</x:f>
        <x:v>37768</x:v>
      </x:c>
      <x:c r="F5" s="84" t="n">
        <x:f>IF(B5=0,"",ROUND(AVERAGEIFS('Tool Rankings'!$T$3:$T$55,'Tool Rankings'!$D$3:$D$55,A5,'Tool Rankings'!$U$3:$U$55,"Yes"),1))</x:f>
        <x:v>87.9</x:v>
      </x:c>
      <x:c r="G5" s="83" t="str">
        <x:v>Established choices</x:v>
      </x:c>
      <x:c r="H5" s="83" t="str">
        <x:v>6 eligible projects; compare deployment effort and licence duties before choosing.</x:v>
      </x:c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24" hidden="0" customHeight="1">
      <x:c r="A6" s="83" t="str">
        <x:v>CRM &amp; Revenue Operations</x:v>
      </x:c>
      <x:c r="B6" s="83" t="n">
        <x:f>COUNTIFS('Tool Rankings'!$D$3:$D$55,A6,'Tool Rankings'!$U$3:$U$55,"Yes")</x:f>
        <x:v>6</x:v>
      </x:c>
      <x:c r="C6" s="83" t="str">
        <x:f>'Tool Rankings'!C8</x:f>
        <x:v>Twenty</x:v>
      </x:c>
      <x:c r="D6" s="84" t="n">
        <x:f>'Tool Rankings'!T8</x:f>
        <x:v>92.1</x:v>
      </x:c>
      <x:c r="E6" s="85" t="n">
        <x:f>'Tool Rankings'!I8</x:f>
        <x:v>53330</x:v>
      </x:c>
      <x:c r="F6" s="84" t="n">
        <x:f>IF(B6=0,"",ROUND(AVERAGEIFS('Tool Rankings'!$T$3:$T$55,'Tool Rankings'!$D$3:$D$55,A6,'Tool Rankings'!$U$3:$U$55,"Yes"),1))</x:f>
        <x:v>83.6</x:v>
      </x:c>
      <x:c r="G6" s="83" t="str">
        <x:v>Established choices</x:v>
      </x:c>
      <x:c r="H6" s="83" t="str">
        <x:v>6 eligible projects; compare deployment effort and licence duties before choosing.</x:v>
      </x:c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24" hidden="0" customHeight="1">
      <x:c r="A7" s="83" t="str">
        <x:v>Conversation Intelligence</x:v>
      </x:c>
      <x:c r="B7" s="83" t="n">
        <x:f>COUNTIFS('Tool Rankings'!$D$3:$D$55,A7,'Tool Rankings'!$U$3:$U$55,"Yes")</x:f>
        <x:v>2</x:v>
      </x:c>
      <x:c r="C7" s="83" t="str">
        <x:f>'Tool Rankings'!C38</x:f>
        <x:v>Meetily</x:v>
      </x:c>
      <x:c r="D7" s="84" t="n">
        <x:f>'Tool Rankings'!T38</x:f>
        <x:v>82.9</x:v>
      </x:c>
      <x:c r="E7" s="85" t="n">
        <x:f>'Tool Rankings'!I38</x:f>
        <x:v>25753</x:v>
      </x:c>
      <x:c r="F7" s="84" t="n">
        <x:f>IF(B7=0,"",ROUND(AVERAGEIFS('Tool Rankings'!$T$3:$T$55,'Tool Rankings'!$D$3:$D$55,A7,'Tool Rankings'!$U$3:$U$55,"Yes"),1))</x:f>
        <x:v>81.6</x:v>
      </x:c>
      <x:c r="G7" s="83" t="str">
        <x:v>Developing</x:v>
      </x:c>
      <x:c r="H7" s="83" t="str">
        <x:v>2 eligible projects; compare deployment effort and licence duties before choosing.</x:v>
      </x:c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24" hidden="0" customHeight="1">
      <x:c r="A8" s="83" t="str">
        <x:v>Creative &amp; Content</x:v>
      </x:c>
      <x:c r="B8" s="83" t="n">
        <x:f>COUNTIFS('Tool Rankings'!$D$3:$D$55,A8,'Tool Rankings'!$U$3:$U$55,"Yes")</x:f>
        <x:v>6</x:v>
      </x:c>
      <x:c r="C8" s="83" t="str">
        <x:f>'Tool Rankings'!C6</x:f>
        <x:v>Excalidraw</x:v>
      </x:c>
      <x:c r="D8" s="84" t="n">
        <x:f>'Tool Rankings'!T6</x:f>
        <x:v>92.9</x:v>
      </x:c>
      <x:c r="E8" s="85" t="n">
        <x:f>'Tool Rankings'!I6</x:f>
        <x:v>127938</x:v>
      </x:c>
      <x:c r="F8" s="84" t="n">
        <x:f>IF(B8=0,"",ROUND(AVERAGEIFS('Tool Rankings'!$T$3:$T$55,'Tool Rankings'!$D$3:$D$55,A8,'Tool Rankings'!$U$3:$U$55,"Yes"),1))</x:f>
        <x:v>86</x:v>
      </x:c>
      <x:c r="G8" s="83" t="str">
        <x:v>Established choices</x:v>
      </x:c>
      <x:c r="H8" s="83" t="str">
        <x:v>6 eligible projects; compare deployment effort and licence duties before choosing.</x:v>
      </x:c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24" hidden="0" customHeight="1">
      <x:c r="A9" s="83" t="str">
        <x:v>Customer Data &amp; Activation</x:v>
      </x:c>
      <x:c r="B9" s="83" t="n">
        <x:f>COUNTIFS('Tool Rankings'!$D$3:$D$55,A9,'Tool Rankings'!$U$3:$U$55,"Yes")</x:f>
        <x:v>3</x:v>
      </x:c>
      <x:c r="C9" s="83" t="str">
        <x:f>'Tool Rankings'!C43</x:f>
        <x:v>Jitsu</x:v>
      </x:c>
      <x:c r="D9" s="84" t="n">
        <x:f>'Tool Rankings'!T43</x:f>
        <x:v>80.5</x:v>
      </x:c>
      <x:c r="E9" s="85" t="n">
        <x:f>'Tool Rankings'!I43</x:f>
        <x:v>4812</x:v>
      </x:c>
      <x:c r="F9" s="84" t="n">
        <x:f>IF(B9=0,"",ROUND(AVERAGEIFS('Tool Rankings'!$T$3:$T$55,'Tool Rankings'!$D$3:$D$55,A9,'Tool Rankings'!$U$3:$U$55,"Yes"),1))</x:f>
        <x:v>79.1</x:v>
      </x:c>
      <x:c r="G9" s="83" t="str">
        <x:v>Developing</x:v>
      </x:c>
      <x:c r="H9" s="83" t="str">
        <x:v>3 eligible projects; compare deployment effort and licence duties before choosing.</x:v>
      </x:c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24" hidden="0" customHeight="1">
      <x:c r="A10" s="83" t="str">
        <x:v>Customer Support &amp; Success</x:v>
      </x:c>
      <x:c r="B10" s="83" t="n">
        <x:f>COUNTIFS('Tool Rankings'!$D$3:$D$55,A10,'Tool Rankings'!$U$3:$U$55,"Yes")</x:f>
        <x:v>3</x:v>
      </x:c>
      <x:c r="C10" s="83" t="str">
        <x:f>'Tool Rankings'!C4</x:f>
        <x:v>Chatwoot</x:v>
      </x:c>
      <x:c r="D10" s="84" t="n">
        <x:f>'Tool Rankings'!T4</x:f>
        <x:v>93.3</x:v>
      </x:c>
      <x:c r="E10" s="85" t="n">
        <x:f>'Tool Rankings'!I4</x:f>
        <x:v>34579</x:v>
      </x:c>
      <x:c r="F10" s="84" t="n">
        <x:f>IF(B10=0,"",ROUND(AVERAGEIFS('Tool Rankings'!$T$3:$T$55,'Tool Rankings'!$D$3:$D$55,A10,'Tool Rankings'!$U$3:$U$55,"Yes"),1))</x:f>
        <x:v>88</x:v>
      </x:c>
      <x:c r="G10" s="83" t="str">
        <x:v>Developing</x:v>
      </x:c>
      <x:c r="H10" s="83" t="str">
        <x:v>3 eligible projects; compare deployment effort and licence duties before choosing.</x:v>
      </x:c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24" hidden="0" customHeight="1">
      <x:c r="A11" s="83" t="str">
        <x:v>Forms, Surveys &amp; Conversion</x:v>
      </x:c>
      <x:c r="B11" s="83" t="n">
        <x:f>COUNTIFS('Tool Rankings'!$D$3:$D$55,A11,'Tool Rankings'!$U$3:$U$55,"Yes")</x:f>
        <x:v>4</x:v>
      </x:c>
      <x:c r="C11" s="83" t="str">
        <x:f>'Tool Rankings'!C3</x:f>
        <x:v>Cal.com</x:v>
      </x:c>
      <x:c r="D11" s="84" t="n">
        <x:f>'Tool Rankings'!T3</x:f>
        <x:v>93.8</x:v>
      </x:c>
      <x:c r="E11" s="85" t="n">
        <x:f>'Tool Rankings'!I3</x:f>
        <x:v>46636</x:v>
      </x:c>
      <x:c r="F11" s="84" t="n">
        <x:f>IF(B11=0,"",ROUND(AVERAGEIFS('Tool Rankings'!$T$3:$T$55,'Tool Rankings'!$D$3:$D$55,A11,'Tool Rankings'!$U$3:$U$55,"Yes"),1))</x:f>
        <x:v>86.8</x:v>
      </x:c>
      <x:c r="G11" s="83" t="str">
        <x:v>Established choices</x:v>
      </x:c>
      <x:c r="H11" s="83" t="str">
        <x:v>4 eligible projects; compare deployment effort and licence duties before choosing.</x:v>
      </x:c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24" hidden="0" customHeight="1">
      <x:c r="A12" s="83" t="str">
        <x:v>Marketing Automation &amp; Email</x:v>
      </x:c>
      <x:c r="B12" s="83" t="n">
        <x:f>COUNTIFS('Tool Rankings'!$D$3:$D$55,A12,'Tool Rankings'!$U$3:$U$55,"Yes")</x:f>
        <x:v>5</x:v>
      </x:c>
      <x:c r="C12" s="83" t="str">
        <x:f>'Tool Rankings'!C12</x:f>
        <x:v>listmonk</x:v>
      </x:c>
      <x:c r="D12" s="84" t="n">
        <x:f>'Tool Rankings'!T12</x:f>
        <x:v>90.6</x:v>
      </x:c>
      <x:c r="E12" s="85" t="n">
        <x:f>'Tool Rankings'!I12</x:f>
        <x:v>22294</x:v>
      </x:c>
      <x:c r="F12" s="84" t="n">
        <x:f>IF(B12=0,"",ROUND(AVERAGEIFS('Tool Rankings'!$T$3:$T$55,'Tool Rankings'!$D$3:$D$55,A12,'Tool Rankings'!$U$3:$U$55,"Yes"),1))</x:f>
        <x:v>81.8</x:v>
      </x:c>
      <x:c r="G12" s="83" t="str">
        <x:v>Established choices</x:v>
      </x:c>
      <x:c r="H12" s="83" t="str">
        <x:v>5 eligible projects; compare deployment effort and licence duties before choosing.</x:v>
      </x:c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24" hidden="0" customHeight="1">
      <x:c r="A13" s="83" t="str">
        <x:v>Prospecting &amp; Web Data</x:v>
      </x:c>
      <x:c r="B13" s="83" t="n">
        <x:f>COUNTIFS('Tool Rankings'!$D$3:$D$55,A13,'Tool Rankings'!$U$3:$U$55,"Yes")</x:f>
        <x:v>3</x:v>
      </x:c>
      <x:c r="C13" s="83" t="str">
        <x:f>'Tool Rankings'!C9</x:f>
        <x:v>Crawl4AI</x:v>
      </x:c>
      <x:c r="D13" s="84" t="n">
        <x:f>'Tool Rankings'!T9</x:f>
        <x:v>91.7</x:v>
      </x:c>
      <x:c r="E13" s="85" t="n">
        <x:f>'Tool Rankings'!I9</x:f>
        <x:v>73401</x:v>
      </x:c>
      <x:c r="F13" s="84" t="n">
        <x:f>IF(B13=0,"",ROUND(AVERAGEIFS('Tool Rankings'!$T$3:$T$55,'Tool Rankings'!$D$3:$D$55,A13,'Tool Rankings'!$U$3:$U$55,"Yes"),1))</x:f>
        <x:v>87.9</x:v>
      </x:c>
      <x:c r="G13" s="83" t="str">
        <x:v>Developing</x:v>
      </x:c>
      <x:c r="H13" s="83" t="str">
        <x:v>3 eligible projects; compare deployment effort and licence duties before choosing.</x:v>
      </x:c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24" hidden="0" customHeight="1">
      <x:c r="A14" s="83" t="str">
        <x:v>Website &amp; Content</x:v>
      </x:c>
      <x:c r="B14" s="83" t="n">
        <x:f>COUNTIFS('Tool Rankings'!$D$3:$D$55,A14,'Tool Rankings'!$U$3:$U$55,"Yes")</x:f>
        <x:v>3</x:v>
      </x:c>
      <x:c r="C14" s="83" t="str">
        <x:f>'Tool Rankings'!C7</x:f>
        <x:v>Strapi</x:v>
      </x:c>
      <x:c r="D14" s="84" t="n">
        <x:f>'Tool Rankings'!T7</x:f>
        <x:v>92.1</x:v>
      </x:c>
      <x:c r="E14" s="85" t="n">
        <x:f>'Tool Rankings'!I7</x:f>
        <x:v>72689</x:v>
      </x:c>
      <x:c r="F14" s="84" t="n">
        <x:f>IF(B14=0,"",ROUND(AVERAGEIFS('Tool Rankings'!$T$3:$T$55,'Tool Rankings'!$D$3:$D$55,A14,'Tool Rankings'!$U$3:$U$55,"Yes"),1))</x:f>
        <x:v>89.2</x:v>
      </x:c>
      <x:c r="G14" s="83" t="str">
        <x:v>Developing</x:v>
      </x:c>
      <x:c r="H14" s="83" t="str">
        <x:v>3 eligible projects; compare deployment effort and licence duties before choosing.</x:v>
      </x:c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24" hidden="0" customHeight="1">
      <x:c r="A15" s="83" t="str">
        <x:v>Workflow Automation</x:v>
      </x:c>
      <x:c r="B15" s="83" t="n">
        <x:f>COUNTIFS('Tool Rankings'!$D$3:$D$55,A15,'Tool Rankings'!$U$3:$U$55,"Yes")</x:f>
        <x:v>4</x:v>
      </x:c>
      <x:c r="C15" s="83" t="str">
        <x:f>'Tool Rankings'!C17</x:f>
        <x:v>Activepieces</x:v>
      </x:c>
      <x:c r="D15" s="84" t="n">
        <x:f>'Tool Rankings'!T17</x:f>
        <x:v>89.4</x:v>
      </x:c>
      <x:c r="E15" s="85" t="n">
        <x:f>'Tool Rankings'!I17</x:f>
        <x:v>23343</x:v>
      </x:c>
      <x:c r="F15" s="84" t="n">
        <x:f>IF(B15=0,"",ROUND(AVERAGEIFS('Tool Rankings'!$T$3:$T$55,'Tool Rankings'!$D$3:$D$55,A15,'Tool Rankings'!$U$3:$U$55,"Yes"),1))</x:f>
        <x:v>84</x:v>
      </x:c>
      <x:c r="G15" s="83" t="str">
        <x:v>Established choices</x:v>
      </x:c>
      <x:c r="H15" s="83" t="str">
        <x:v>4 eligible projects; compare deployment effort and licence duties before choosing.</x:v>
      </x:c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15" hidden="0" customHeight="1">
      <x:c r="A16" s="76"/>
      <x:c r="B16" s="76"/>
      <x:c r="C16" s="76"/>
      <x:c r="D16" s="76"/>
      <x:c r="E16" s="76"/>
      <x:c r="F16" s="76"/>
      <x:c r="G16" s="76"/>
      <x:c r="H16" s="76"/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15" hidden="0" customHeight="1">
      <x:c r="A17" s="76"/>
      <x:c r="B17" s="76"/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15" hidden="0" customHeight="1">
      <x:c r="A18" s="76"/>
      <x:c r="B18" s="76"/>
      <x:c r="C18" s="76"/>
      <x:c r="D18" s="76"/>
      <x:c r="E18" s="76"/>
      <x:c r="F18" s="76"/>
      <x:c r="G18" s="76"/>
      <x:c r="H18" s="76"/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15" hidden="0" customHeight="1">
      <x:c r="A19" s="76"/>
      <x:c r="B19" s="76"/>
      <x:c r="C19" s="76"/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15" hidden="0" customHeight="1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15" hidden="0" customHeight="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15" hidden="0" customHeight="1">
      <x:c r="A22" s="76"/>
      <x:c r="B22" s="76"/>
      <x:c r="C22" s="76"/>
      <x:c r="D22" s="76"/>
      <x:c r="E22" s="76"/>
      <x:c r="F22" s="76"/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15" hidden="0" customHeight="1">
      <x:c r="A23" s="76"/>
      <x:c r="B23" s="76"/>
      <x:c r="C23" s="76"/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15" hidden="0" customHeight="1">
      <x:c r="A24" s="76"/>
      <x:c r="B24" s="76"/>
      <x:c r="C24" s="76"/>
      <x:c r="D24" s="76"/>
      <x:c r="E24" s="76"/>
      <x:c r="F24" s="76"/>
      <x:c r="G24" s="76"/>
      <x:c r="H24" s="76"/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15" hidden="0" customHeight="1">
      <x:c r="A25" s="76"/>
      <x:c r="B25" s="76"/>
      <x:c r="C25" s="76"/>
      <x:c r="D25" s="76"/>
      <x:c r="E25" s="76"/>
      <x:c r="F25" s="76"/>
      <x:c r="G25" s="76"/>
      <x:c r="H25" s="76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15" hidden="0" customHeight="1">
      <x:c r="A26" s="76"/>
      <x:c r="B26" s="76"/>
      <x:c r="C26" s="76"/>
      <x:c r="D26" s="76"/>
      <x:c r="E26" s="76"/>
      <x:c r="F26" s="76"/>
      <x:c r="G26" s="76"/>
      <x:c r="H26" s="76"/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15" hidden="0" customHeight="1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15" hidden="0" customHeight="1">
      <x:c r="A28" s="76"/>
      <x:c r="B28" s="76"/>
      <x:c r="C28" s="76"/>
      <x:c r="D28" s="76"/>
      <x:c r="E28" s="76"/>
      <x:c r="F28" s="76"/>
      <x:c r="G28" s="76"/>
      <x:c r="H28" s="76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15" hidden="0" customHeight="1">
      <x:c r="A29" s="76"/>
      <x:c r="B29" s="76"/>
      <x:c r="C29" s="76"/>
      <x:c r="D29" s="76"/>
      <x:c r="E29" s="76"/>
      <x:c r="F29" s="76"/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15" hidden="0" customHeight="1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15" hidden="0" customHeight="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15" hidden="0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15" hidden="0" customHeight="1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15" hidden="0" customHeight="1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15" hidden="0" customHeight="1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15" hidden="0" customHeight="1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15" hidden="0" customHeight="1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15" hidden="0" customHeight="1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15" hidden="0" customHeight="1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15" hidden="0" customHeight="1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15" hidden="0" customHeight="1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15" hidden="0" customHeight="1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40" hidden="0" customWidth="1"/>
    <x:col min="4" max="4" width="45" hidden="0" customWidth="1"/>
    <x:col min="5" max="5" width="34" hidden="0" customWidth="1"/>
    <x:col min="6" max="6" width="34" hidden="0" customWidth="1"/>
  </x:cols>
  <x:sheetData>
    <x:row r="1" ht="36" hidden="0" customHeight="1">
      <x:c r="A1" s="73" t="str">
        <x:v>Commercial tools and researched open-source replacements</x:v>
      </x:c>
      <x:c r="B1" s="73" t="str">
        <x:v>Commercial tools and researched open-source replacements</x:v>
      </x:c>
      <x:c r="C1" s="73" t="str">
        <x:v>Commercial tools and researched open-source replacements</x:v>
      </x:c>
      <x:c r="D1" s="73" t="str">
        <x:v>Commercial tools and researched open-source replacements</x:v>
      </x:c>
      <x:c r="E1" s="73" t="str">
        <x:v>Commercial tools and researched open-source replacements</x:v>
      </x:c>
      <x:c r="F1" s="73" t="str">
        <x:v>Commercial tools and researched open-source replacements</x:v>
      </x:c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82" t="str">
        <x:v>Commercial product</x:v>
      </x:c>
      <x:c r="B2" s="82" t="str">
        <x:v>Open-source options</x:v>
      </x:c>
      <x:c r="C2" s="82" t="str">
        <x:v>Best starting point</x:v>
      </x:c>
      <x:c r="D2" s="82" t="str">
        <x:v>Important limitation</x:v>
      </x:c>
      <x:c r="E2" s="82" t="str">
        <x:v>Relevant category</x:v>
      </x:c>
      <x:c r="F2" s="82" t="str">
        <x:v>Source basis</x:v>
      </x:c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24" hidden="0" customHeight="1">
      <x:c r="A3" s="83" t="str">
        <x:v>Salesforce</x:v>
      </x:c>
      <x:c r="B3" s="83" t="str">
        <x:v>Twenty; EspoCRM; SuiteCRM; Corteza</x:v>
      </x:c>
      <x:c r="C3" s="83" t="str">
        <x:v>Twenty for a modern interface; EspoCRM or SuiteCRM for established CRM depth</x:v>
      </x:c>
      <x:c r="D3" s="83" t="str">
        <x:v>Migration, email integration and reporting still require testing</x:v>
      </x:c>
      <x:c r="E3" s="83" t="str">
        <x:v>CRM &amp; Revenue Operations</x:v>
      </x:c>
      <x:c r="F3" s="83" t="str">
        <x:v>Repository licence, description and official project documentation</x:v>
      </x:c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24" hidden="0" customHeight="1">
      <x:c r="A4" s="83" t="str">
        <x:v>HubSpot</x:v>
      </x:c>
      <x:c r="B4" s="83" t="str">
        <x:v>Twenty; EspoCRM; Krayin CRM; Mautic</x:v>
      </x:c>
      <x:c r="C4" s="83" t="str">
        <x:v>Combine a CRM with Mautic when both sales and marketing automation are required</x:v>
      </x:c>
      <x:c r="D4" s="83" t="str">
        <x:v>No single project matches every HubSpot hub</x:v>
      </x:c>
      <x:c r="E4" s="83" t="str">
        <x:v>CRM &amp; Revenue Operations; Marketing Automation &amp; Email</x:v>
      </x:c>
      <x:c r="F4" s="83" t="str">
        <x:v>Repository licence, description and official project documentation</x:v>
      </x:c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24" hidden="0" customHeight="1">
      <x:c r="A5" s="83" t="str">
        <x:v>Attio</x:v>
      </x:c>
      <x:c r="B5" s="83" t="str">
        <x:v>Twenty; Atomic CRM</x:v>
      </x:c>
      <x:c r="C5" s="83" t="str">
        <x:v>Twenty</x:v>
      </x:c>
      <x:c r="D5" s="83" t="str">
        <x:v>Atomic CRM is a toolkit and needs more product work</x:v>
      </x:c>
      <x:c r="E5" s="83" t="str">
        <x:v>CRM &amp; Revenue Operations</x:v>
      </x:c>
      <x:c r="F5" s="83" t="str">
        <x:v>Repository licence, description and official project documentation</x:v>
      </x:c>
      <x:c r="G5" s="76"/>
      <x:c r="H5" s="76"/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24" hidden="0" customHeight="1">
      <x:c r="A6" s="83" t="str">
        <x:v>Pipedrive</x:v>
      </x:c>
      <x:c r="B6" s="83" t="str">
        <x:v>Twenty; Atomic CRM; Krayin CRM</x:v>
      </x:c>
      <x:c r="C6" s="83" t="str">
        <x:v>Krayin CRM or Twenty</x:v>
      </x:c>
      <x:c r="D6" s="83" t="str">
        <x:v>Check email and forecasting requirements</x:v>
      </x:c>
      <x:c r="E6" s="83" t="str">
        <x:v>CRM &amp; Revenue Operations</x:v>
      </x:c>
      <x:c r="F6" s="83" t="str">
        <x:v>Repository licence, description and official project documentation</x:v>
      </x:c>
      <x:c r="G6" s="76"/>
      <x:c r="H6" s="76"/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24" hidden="0" customHeight="1">
      <x:c r="A7" s="83" t="str">
        <x:v>Marketo</x:v>
      </x:c>
      <x:c r="B7" s="83" t="str">
        <x:v>Mautic</x:v>
      </x:c>
      <x:c r="C7" s="83" t="str">
        <x:v>Mautic</x:v>
      </x:c>
      <x:c r="D7" s="83" t="str">
        <x:v>Operating email delivery and deliverability remains your responsibility</x:v>
      </x:c>
      <x:c r="E7" s="83" t="str">
        <x:v>Marketing Automation &amp; Email</x:v>
      </x:c>
      <x:c r="F7" s="83" t="str">
        <x:v>Repository licence, description and official project documentation</x:v>
      </x:c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24" hidden="0" customHeight="1">
      <x:c r="A8" s="83" t="str">
        <x:v>Mailchimp</x:v>
      </x:c>
      <x:c r="B8" s="83" t="str">
        <x:v>listmonk; Keila</x:v>
      </x:c>
      <x:c r="C8" s="83" t="str">
        <x:v>listmonk for high-volume lists; Keila for a simpler newsletter workflow</x:v>
      </x:c>
      <x:c r="D8" s="83" t="str">
        <x:v>You must provide and monitor an email delivery provider</x:v>
      </x:c>
      <x:c r="E8" s="83" t="str">
        <x:v>Marketing Automation &amp; Email</x:v>
      </x:c>
      <x:c r="F8" s="83" t="str">
        <x:v>Repository licence, description and official project documentation</x:v>
      </x:c>
      <x:c r="G8" s="76"/>
      <x:c r="H8" s="76"/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24" hidden="0" customHeight="1">
      <x:c r="A9" s="83" t="str">
        <x:v>Customer.io</x:v>
      </x:c>
      <x:c r="B9" s="83" t="str">
        <x:v>Dittofeed; Plunk</x:v>
      </x:c>
      <x:c r="C9" s="83" t="str">
        <x:v>Dittofeed</x:v>
      </x:c>
      <x:c r="D9" s="83" t="str">
        <x:v>Confirm channel support and data model before migration</x:v>
      </x:c>
      <x:c r="E9" s="83" t="str">
        <x:v>Marketing Automation &amp; Email</x:v>
      </x:c>
      <x:c r="F9" s="83" t="str">
        <x:v>Repository licence, description and official project documentation</x:v>
      </x:c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24" hidden="0" customHeight="1">
      <x:c r="A10" s="83" t="str">
        <x:v>Intercom</x:v>
      </x:c>
      <x:c r="B10" s="83" t="str">
        <x:v>Chatwoot; Typebot</x:v>
      </x:c>
      <x:c r="C10" s="83" t="str">
        <x:v>Chatwoot</x:v>
      </x:c>
      <x:c r="D10" s="83" t="str">
        <x:v>Typebot has a restricted source-available licence</x:v>
      </x:c>
      <x:c r="E10" s="83" t="str">
        <x:v>Customer Support &amp; Success; Forms, Surveys &amp; Conversion</x:v>
      </x:c>
      <x:c r="F10" s="83" t="str">
        <x:v>Repository licence, description and official project documentation</x:v>
      </x:c>
      <x:c r="G10" s="76"/>
      <x:c r="H10" s="76"/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24" hidden="0" customHeight="1">
      <x:c r="A11" s="83" t="str">
        <x:v>Zendesk</x:v>
      </x:c>
      <x:c r="B11" s="83" t="str">
        <x:v>Chatwoot; Zammad; FreeScout</x:v>
      </x:c>
      <x:c r="C11" s="83" t="str">
        <x:v>Zammad for a traditional help desk; Chatwoot for messaging</x:v>
      </x:c>
      <x:c r="D11" s="83" t="str">
        <x:v>Advanced workforce and compliance features vary</x:v>
      </x:c>
      <x:c r="E11" s="83" t="str">
        <x:v>Customer Support &amp; Success</x:v>
      </x:c>
      <x:c r="F11" s="83" t="str">
        <x:v>Repository licence, description and official project documentation</x:v>
      </x:c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24" hidden="0" customHeight="1">
      <x:c r="A12" s="83" t="str">
        <x:v>Mixpanel / Amplitude</x:v>
      </x:c>
      <x:c r="B12" s="83" t="str">
        <x:v>PostHog; OpenPanel</x:v>
      </x:c>
      <x:c r="C12" s="83" t="str">
        <x:v>PostHog</x:v>
      </x:c>
      <x:c r="D12" s="83" t="str">
        <x:v>Warehouse scale and retention costs still need capacity planning</x:v>
      </x:c>
      <x:c r="E12" s="83" t="str">
        <x:v>Analytics &amp; Experimentation</x:v>
      </x:c>
      <x:c r="F12" s="83" t="str">
        <x:v>Repository licence, description and official project documentation</x:v>
      </x:c>
      <x:c r="G12" s="76"/>
      <x:c r="H12" s="76"/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24" hidden="0" customHeight="1">
      <x:c r="A13" s="83" t="str">
        <x:v>Google Analytics</x:v>
      </x:c>
      <x:c r="B13" s="83" t="str">
        <x:v>Umami; Plausible Analytics; Matomo</x:v>
      </x:c>
      <x:c r="C13" s="83" t="str">
        <x:v>Umami or Plausible for simplicity; Matomo for breadth</x:v>
      </x:c>
      <x:c r="D13" s="83" t="str">
        <x:v>Advertising integrations differ from Google's ecosystem</x:v>
      </x:c>
      <x:c r="E13" s="83" t="str">
        <x:v>Analytics &amp; Experimentation</x:v>
      </x:c>
      <x:c r="F13" s="83" t="str">
        <x:v>Repository licence, description and official project documentation</x:v>
      </x:c>
      <x:c r="G13" s="76"/>
      <x:c r="H13" s="76"/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24" hidden="0" customHeight="1">
      <x:c r="A14" s="83" t="str">
        <x:v>Optimizely</x:v>
      </x:c>
      <x:c r="B14" s="83" t="str">
        <x:v>GrowthBook</x:v>
      </x:c>
      <x:c r="C14" s="83" t="str">
        <x:v>GrowthBook</x:v>
      </x:c>
      <x:c r="D14" s="83" t="str">
        <x:v>Experiment design and statistical review remain team responsibilities</x:v>
      </x:c>
      <x:c r="E14" s="83" t="str">
        <x:v>Analytics &amp; Experimentation</x:v>
      </x:c>
      <x:c r="F14" s="83" t="str">
        <x:v>Repository licence, description and official project documentation</x:v>
      </x:c>
      <x:c r="G14" s="76"/>
      <x:c r="H14" s="76"/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24" hidden="0" customHeight="1">
      <x:c r="A15" s="83" t="str">
        <x:v>Typeform</x:v>
      </x:c>
      <x:c r="B15" s="83" t="str">
        <x:v>Formbricks; HeyForm; Typebot</x:v>
      </x:c>
      <x:c r="C15" s="83" t="str">
        <x:v>Formbricks or HeyForm</x:v>
      </x:c>
      <x:c r="D15" s="83" t="str">
        <x:v>Typebot is source available rather than strict open source</x:v>
      </x:c>
      <x:c r="E15" s="83" t="str">
        <x:v>Forms, Surveys &amp; Conversion</x:v>
      </x:c>
      <x:c r="F15" s="83" t="str">
        <x:v>Repository licence, description and official project documentation</x:v>
      </x:c>
      <x:c r="G15" s="76"/>
      <x:c r="H15" s="76"/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24" hidden="0" customHeight="1">
      <x:c r="A16" s="83" t="str">
        <x:v>Calendly / Chili Piper</x:v>
      </x:c>
      <x:c r="B16" s="83" t="str">
        <x:v>Cal.com; Easy!Appointments</x:v>
      </x:c>
      <x:c r="C16" s="83" t="str">
        <x:v>Cal.com</x:v>
      </x:c>
      <x:c r="D16" s="83" t="str">
        <x:v>Enterprise routing and support terms vary</x:v>
      </x:c>
      <x:c r="E16" s="83" t="str">
        <x:v>Forms, Surveys &amp; Conversion</x:v>
      </x:c>
      <x:c r="F16" s="83" t="str">
        <x:v>Repository licence, description and official project documentation</x:v>
      </x:c>
      <x:c r="G16" s="76"/>
      <x:c r="H16" s="76"/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24" hidden="0" customHeight="1">
      <x:c r="A17" s="83" t="str">
        <x:v>Webflow / Framer</x:v>
      </x:c>
      <x:c r="B17" s="83" t="str">
        <x:v>Webstudio</x:v>
      </x:c>
      <x:c r="C17" s="83" t="str">
        <x:v>Webstudio</x:v>
      </x:c>
      <x:c r="D17" s="83" t="str">
        <x:v>Ecosystem and template depth are smaller</x:v>
      </x:c>
      <x:c r="E17" s="83" t="str">
        <x:v>Website &amp; Content</x:v>
      </x:c>
      <x:c r="F17" s="83" t="str">
        <x:v>Repository licence, description and official project documentation</x:v>
      </x:c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24" hidden="0" customHeight="1">
      <x:c r="A18" s="83" t="str">
        <x:v>Contentful / Sanity</x:v>
      </x:c>
      <x:c r="B18" s="83" t="str">
        <x:v>Strapi; Payload</x:v>
      </x:c>
      <x:c r="C18" s="83" t="str">
        <x:v>Payload for code-first teams; Strapi for a broader admin surface</x:v>
      </x:c>
      <x:c r="D18" s="83" t="str">
        <x:v>Both need hosting and operational ownership</x:v>
      </x:c>
      <x:c r="E18" s="83" t="str">
        <x:v>Website &amp; Content</x:v>
      </x:c>
      <x:c r="F18" s="83" t="str">
        <x:v>Repository licence, description and official project documentation</x:v>
      </x:c>
      <x:c r="G18" s="76"/>
      <x:c r="H18" s="76"/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24" hidden="0" customHeight="1">
      <x:c r="A19" s="83" t="str">
        <x:v>Zapier / Make</x:v>
      </x:c>
      <x:c r="B19" s="83" t="str">
        <x:v>Activepieces; Windmill; Node-RED; Automatisch</x:v>
      </x:c>
      <x:c r="C19" s="83" t="str">
        <x:v>Activepieces for business users; Windmill for developers</x:v>
      </x:c>
      <x:c r="D19" s="83" t="str">
        <x:v>Connector coverage should be tested against the exact workflow list</x:v>
      </x:c>
      <x:c r="E19" s="83" t="str">
        <x:v>Workflow Automation</x:v>
      </x:c>
      <x:c r="F19" s="83" t="str">
        <x:v>Repository licence, description and official project documentation</x:v>
      </x:c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24" hidden="0" customHeight="1">
      <x:c r="A20" s="83" t="str">
        <x:v>Segment</x:v>
      </x:c>
      <x:c r="B20" s="83" t="str">
        <x:v>Snowplow; Jitsu</x:v>
      </x:c>
      <x:c r="C20" s="83" t="str">
        <x:v>Jitsu for a smaller stack; Snowplow for a data platform</x:v>
      </x:c>
      <x:c r="D20" s="83" t="str">
        <x:v>Implementation is more technical than hosted Segment</x:v>
      </x:c>
      <x:c r="E20" s="83" t="str">
        <x:v>Customer Data &amp; Activation</x:v>
      </x:c>
      <x:c r="F20" s="83" t="str">
        <x:v>Repository licence, description and official project documentation</x:v>
      </x:c>
      <x:c r="G20" s="76"/>
      <x:c r="H20" s="76"/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24" hidden="0" customHeight="1">
      <x:c r="A21" s="83" t="str">
        <x:v>Fivetran</x:v>
      </x:c>
      <x:c r="B21" s="83" t="str">
        <x:v>Meltano</x:v>
      </x:c>
      <x:c r="C21" s="83" t="str">
        <x:v>Meltano</x:v>
      </x:c>
      <x:c r="D21" s="83" t="str">
        <x:v>Connector maintenance and scheduling are your responsibility</x:v>
      </x:c>
      <x:c r="E21" s="83" t="str">
        <x:v>Customer Data &amp; Activation</x:v>
      </x:c>
      <x:c r="F21" s="83" t="str">
        <x:v>Repository licence, description and official project documentation</x:v>
      </x:c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24" hidden="0" customHeight="1">
      <x:c r="A22" s="83" t="str">
        <x:v>Firecrawl</x:v>
      </x:c>
      <x:c r="B22" s="83" t="str">
        <x:v>Crawl4AI; Crawlee</x:v>
      </x:c>
      <x:c r="C22" s="83" t="str">
        <x:v>Crawl4AI for AI-ready output; Crawlee for general scraping</x:v>
      </x:c>
      <x:c r="D22" s="83" t="str">
        <x:v>These are developer tools, not finished sales data products</x:v>
      </x:c>
      <x:c r="E22" s="83" t="str">
        <x:v>Prospecting &amp; Web Data</x:v>
      </x:c>
      <x:c r="F22" s="83" t="str">
        <x:v>Repository licence, description and official project documentation</x:v>
      </x:c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24" hidden="0" customHeight="1">
      <x:c r="A23" s="83" t="str">
        <x:v>Midjourney</x:v>
      </x:c>
      <x:c r="B23" s="83" t="str">
        <x:v>ComfyUI</x:v>
      </x:c>
      <x:c r="C23" s="83" t="str">
        <x:v>ComfyUI</x:v>
      </x:c>
      <x:c r="D23" s="83" t="str">
        <x:v>Model files and computing hardware are separate</x:v>
      </x:c>
      <x:c r="E23" s="83" t="str">
        <x:v>Creative &amp; Content</x:v>
      </x:c>
      <x:c r="F23" s="83" t="str">
        <x:v>Repository licence, description and official project documentation</x:v>
      </x:c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24" hidden="0" customHeight="1">
      <x:c r="A24" s="83" t="str">
        <x:v>Figma</x:v>
      </x:c>
      <x:c r="B24" s="83" t="str">
        <x:v>Penpot</x:v>
      </x:c>
      <x:c r="C24" s="83" t="str">
        <x:v>Penpot</x:v>
      </x:c>
      <x:c r="D24" s="83" t="str">
        <x:v>Plugin and design-system migration should be tested</x:v>
      </x:c>
      <x:c r="E24" s="83" t="str">
        <x:v>Creative &amp; Content</x:v>
      </x:c>
      <x:c r="F24" s="83" t="str">
        <x:v>Repository licence, description and official project documentation</x:v>
      </x:c>
      <x:c r="G24" s="76"/>
      <x:c r="H24" s="76"/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24" hidden="0" customHeight="1">
      <x:c r="A25" s="83" t="str">
        <x:v>Miro / FigJam</x:v>
      </x:c>
      <x:c r="B25" s="83" t="str">
        <x:v>Excalidraw</x:v>
      </x:c>
      <x:c r="C25" s="83" t="str">
        <x:v>Excalidraw</x:v>
      </x:c>
      <x:c r="D25" s="83" t="str">
        <x:v>Complex workshop facilitation features are more limited</x:v>
      </x:c>
      <x:c r="E25" s="83" t="str">
        <x:v>Creative &amp; Content</x:v>
      </x:c>
      <x:c r="F25" s="83" t="str">
        <x:v>Repository licence, description and official project documentation</x:v>
      </x:c>
      <x:c r="G25" s="76"/>
      <x:c r="H25" s="76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24" hidden="0" customHeight="1">
      <x:c r="A26" s="83" t="str">
        <x:v>Gamma</x:v>
      </x:c>
      <x:c r="B26" s="83" t="str">
        <x:v>Presenton; Slidev; Marp</x:v>
      </x:c>
      <x:c r="C26" s="83" t="str">
        <x:v>Presenton for generated decks; Slidev or Marp for Markdown workflows</x:v>
      </x:c>
      <x:c r="D26" s="83" t="str">
        <x:v>Output quality and collaboration differ</x:v>
      </x:c>
      <x:c r="E26" s="83" t="str">
        <x:v>Creative &amp; Content</x:v>
      </x:c>
      <x:c r="F26" s="83" t="str">
        <x:v>Repository licence, description and official project documentation</x:v>
      </x:c>
      <x:c r="G26" s="76"/>
      <x:c r="H26" s="76"/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24" hidden="0" customHeight="1">
      <x:c r="A27" s="83" t="str">
        <x:v>Fireflies.ai / Granola</x:v>
      </x:c>
      <x:c r="B27" s="83" t="str">
        <x:v>Meetily; Vexa</x:v>
      </x:c>
      <x:c r="C27" s="83" t="str">
        <x:v>Meetily for local notes; Vexa for a meeting API</x:v>
      </x:c>
      <x:c r="D27" s="83" t="str">
        <x:v>Consent, recording notices and storage rules require local review</x:v>
      </x:c>
      <x:c r="E27" s="83" t="str">
        <x:v>Conversation Intelligence</x:v>
      </x:c>
      <x:c r="F27" s="83" t="str">
        <x:v>Repository licence, description and official project documentation</x:v>
      </x:c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24" hidden="0" customHeight="1">
      <x:c r="A28" s="83" t="str">
        <x:v>Profound / Scrunch AI</x:v>
      </x:c>
      <x:c r="B28" s="83" t="str">
        <x:v>GEO/AEO Tracker</x:v>
      </x:c>
      <x:c r="C28" s="83" t="str">
        <x:v>Monitor only</x:v>
      </x:c>
      <x:c r="D28" s="83" t="str">
        <x:v>The researched project has no verified licence and the category is early</x:v>
      </x:c>
      <x:c r="E28" s="83" t="str">
        <x:v>AI Answer Visibility</x:v>
      </x:c>
      <x:c r="F28" s="83" t="str">
        <x:v>Repository licence, description and official project documentation</x:v>
      </x:c>
      <x:c r="G28" s="76"/>
      <x:c r="H28" s="76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24" hidden="0" customHeight="1">
      <x:c r="A29" s="83" t="str">
        <x:v>AirOps</x:v>
      </x:c>
      <x:c r="B29" s="83" t="str">
        <x:v>Flowise; LangChain; Dify</x:v>
      </x:c>
      <x:c r="C29" s="83" t="str">
        <x:v>Flowise for a visual builder; LangChain for code</x:v>
      </x:c>
      <x:c r="D29" s="83" t="str">
        <x:v>Dify's modified licence is source available, not strict open source</x:v>
      </x:c>
      <x:c r="E29" s="83" t="str">
        <x:v>Agent &amp; GTM Developer Tools</x:v>
      </x:c>
      <x:c r="F29" s="83" t="str">
        <x:v>Repository licence, description and official project documentation</x:v>
      </x:c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15" hidden="0" customHeight="1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15" hidden="0" customHeight="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15" hidden="0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15" hidden="0" customHeight="1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15" hidden="0" customHeight="1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15" hidden="0" customHeight="1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15" hidden="0" customHeight="1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15" hidden="0" customHeight="1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15" hidden="0" customHeight="1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15" hidden="0" customHeight="1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15" hidden="0" customHeight="1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15" hidden="0" customHeight="1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15" hidden="0" customHeight="1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23" hidden="0" customWidth="1"/>
    <x:col min="4" max="4" width="54" hidden="0" customWidth="1"/>
    <x:col min="6" max="6" width="24" hidden="0" customWidth="1"/>
    <x:col min="7" max="7" width="44" hidden="0" customWidth="1"/>
    <x:col min="8" max="8" width="42" hidden="0" customWidth="1"/>
  </x:cols>
  <x:sheetData>
    <x:row r="1" ht="36" hidden="0" customHeight="1">
      <x:c r="A1" s="73" t="str">
        <x:v>Open GTM Score — transparent scoring method</x:v>
      </x:c>
      <x:c r="B1" s="73" t="str">
        <x:v>Open GTM Score — transparent scoring method</x:v>
      </x:c>
      <x:c r="C1" s="73" t="str">
        <x:v>Open GTM Score — transparent scoring method</x:v>
      </x:c>
      <x:c r="D1" s="73" t="str">
        <x:v>Open GTM Score — transparent scoring method</x:v>
      </x:c>
      <x:c r="E1" s="73" t="str">
        <x:v>Open GTM Score — transparent scoring method</x:v>
      </x:c>
      <x:c r="F1" s="73" t="str">
        <x:v>Open GTM Score — transparent scoring method</x:v>
      </x:c>
      <x:c r="G1" s="73" t="str">
        <x:v>Open GTM Score — transparent scoring method</x:v>
      </x:c>
      <x:c r="H1" s="73" t="str">
        <x:v>Open GTM Score — transparent scoring method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98" t="str">
        <x:v>The score uses public project activity plus two visible editorial inputs. It is a discovery aid, not a claim about product quality or security.</x:v>
      </x:c>
      <x:c r="B2" s="98"/>
      <x:c r="C2" s="98"/>
      <x:c r="D2" s="98"/>
      <x:c r="E2" s="98"/>
      <x:c r="F2" s="98"/>
      <x:c r="G2" s="98"/>
      <x:c r="H2" s="98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15" hidden="0" customHeight="1">
      <x:c r="A3" s="76"/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15" hidden="0" customHeight="1">
      <x:c r="A4" s="81" t="str">
        <x:v>Score components</x:v>
      </x:c>
      <x:c r="B4" s="81" t="str">
        <x:v>Score components</x:v>
      </x:c>
      <x:c r="C4" s="81" t="str">
        <x:v>Score components</x:v>
      </x:c>
      <x:c r="D4" s="81" t="str">
        <x:v>Score components</x:v>
      </x:c>
      <x:c r="E4" s="76"/>
      <x:c r="F4" s="81" t="str">
        <x:v>Editorial review rules</x:v>
      </x:c>
      <x:c r="G4" s="81" t="str">
        <x:v>Editorial review rules</x:v>
      </x:c>
      <x:c r="H4" s="81" t="str">
        <x:v>Editorial review rules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15" hidden="0" customHeight="1">
      <x:c r="A5" s="99" t="str">
        <x:v>Component</x:v>
      </x:c>
      <x:c r="B5" s="99" t="str">
        <x:v>Maximum points</x:v>
      </x:c>
      <x:c r="C5" s="99" t="str">
        <x:v>Input</x:v>
      </x:c>
      <x:c r="D5" s="99" t="str">
        <x:v>How it is calculated</x:v>
      </x:c>
      <x:c r="E5" s="76"/>
      <x:c r="F5" s="99" t="str">
        <x:v>Input</x:v>
      </x:c>
      <x:c r="G5" s="99" t="str">
        <x:v>Review questions</x:v>
      </x:c>
      <x:c r="H5" s="99" t="str">
        <x:v>Evidence</x:v>
      </x:c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24" hidden="0" customHeight="1">
      <x:c r="A6" s="76" t="str">
        <x:v>Adoption</x:v>
      </x:c>
      <x:c r="B6" s="100" t="n">
        <x:v>25</x:v>
      </x:c>
      <x:c r="C6" s="83" t="str">
        <x:v>GitHub stars</x:v>
      </x:c>
      <x:c r="D6" s="83" t="str">
        <x:v>Log-scaled against the largest project in this dataset.</x:v>
      </x:c>
      <x:c r="E6" s="76"/>
      <x:c r="F6" s="83" t="str">
        <x:v>Deployment</x:v>
      </x:c>
      <x:c r="G6" s="83" t="str">
        <x:v>Is there a maintained self-host path? Are upgrades and backups documented?</x:v>
      </x:c>
      <x:c r="H6" s="83" t="str">
        <x:v>Repository and official documentation</x:v>
      </x:c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15" hidden="0" customHeight="1">
      <x:c r="A7" s="76" t="str">
        <x:v>Community</x:v>
      </x:c>
      <x:c r="B7" s="100" t="n">
        <x:v>15</x:v>
      </x:c>
      <x:c r="C7" s="83" t="str">
        <x:v>GitHub forks</x:v>
      </x:c>
      <x:c r="D7" s="83" t="str">
        <x:v>Log-scaled against the largest fork count in this dataset.</x:v>
      </x:c>
      <x:c r="E7" s="76"/>
      <x:c r="F7" s="83" t="str">
        <x:v>Deployment</x:v>
      </x:c>
      <x:c r="G7" s="83" t="str">
        <x:v>Can a small team trial it without building missing infrastructure?</x:v>
      </x:c>
      <x:c r="H7" s="83" t="str">
        <x:v>Containers, install guide, example configuration</x:v>
      </x:c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24" hidden="0" customHeight="1">
      <x:c r="A8" s="76" t="str">
        <x:v>Recent activity</x:v>
      </x:c>
      <x:c r="B8" s="100" t="n">
        <x:v>20</x:v>
      </x:c>
      <x:c r="C8" s="83" t="str">
        <x:v>Days since last push</x:v>
      </x:c>
      <x:c r="D8" s="83" t="str">
        <x:v>20 within 7 days; 18 within 30; 14 within 90; 10 within 180; 5 within 365; otherwise 0.</x:v>
      </x:c>
      <x:c r="E8" s="76"/>
      <x:c r="F8" s="83" t="str">
        <x:v>GTM fit</x:v>
      </x:c>
      <x:c r="G8" s="83" t="str">
        <x:v>Does it directly replace a paid sales, marketing, support or data tool?</x:v>
      </x:c>
      <x:c r="H8" s="83" t="str">
        <x:v>Product documentation and feature list</x:v>
      </x:c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15" hidden="0" customHeight="1">
      <x:c r="A9" s="76" t="str">
        <x:v>Deployment readiness</x:v>
      </x:c>
      <x:c r="B9" s="100" t="n">
        <x:v>15</x:v>
      </x:c>
      <x:c r="C9" s="83" t="str">
        <x:v>Editorial input</x:v>
      </x:c>
      <x:c r="D9" s="83" t="str">
        <x:v>Documentation, containers, hosted option, upgrade path and operating effort.</x:v>
      </x:c>
      <x:c r="E9" s="76"/>
      <x:c r="F9" s="83" t="str">
        <x:v>GTM fit</x:v>
      </x:c>
      <x:c r="G9" s="83" t="str">
        <x:v>Is it a complete application or only a developer component?</x:v>
      </x:c>
      <x:c r="H9" s="83" t="str">
        <x:v>Working product surface and intended user</x:v>
      </x:c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24" hidden="0" customHeight="1">
      <x:c r="A10" s="76" t="str">
        <x:v>Go-to-market fit</x:v>
      </x:c>
      <x:c r="B10" s="100" t="n">
        <x:v>15</x:v>
      </x:c>
      <x:c r="C10" s="83" t="str">
        <x:v>Editorial input</x:v>
      </x:c>
      <x:c r="D10" s="83" t="str">
        <x:v>How directly the product supports sales, marketing, customer success or related data work.</x:v>
      </x:c>
      <x:c r="E10" s="76"/>
      <x:c r="F10" s="83" t="str">
        <x:v>Licence</x:v>
      </x:c>
      <x:c r="G10" s="83" t="str">
        <x:v>Is the core under an approved open-source licence?</x:v>
      </x:c>
      <x:c r="H10" s="83" t="str">
        <x:v>Repository licence file; restricted projects remain visible but unranked</x:v>
      </x:c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24" hidden="0" customHeight="1">
      <x:c r="A11" s="76" t="str">
        <x:v>Licence openness</x:v>
      </x:c>
      <x:c r="B11" s="100" t="n">
        <x:v>10</x:v>
      </x:c>
      <x:c r="C11" s="83" t="str">
        <x:v>Licence model</x:v>
      </x:c>
      <x:c r="D11" s="83" t="str">
        <x:v>Rights to use, change and redistribute the core project; restricted licences score lower and are not ranked.</x:v>
      </x:c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15" hidden="0" customHeight="1">
      <x:c r="A12" s="76"/>
      <x:c r="B12" s="76"/>
      <x:c r="C12" s="76"/>
      <x:c r="D12" s="76"/>
      <x:c r="E12" s="76"/>
      <x:c r="F12" s="81" t="str">
        <x:v>Known limits</x:v>
      </x:c>
      <x:c r="G12" s="81" t="str">
        <x:v>Known limits</x:v>
      </x:c>
      <x:c r="H12" s="81" t="str">
        <x:v>Known limits</x:v>
      </x:c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15" hidden="0" customHeight="1">
      <x:c r="A13" s="81" t="str">
        <x:v>Licence model points and ranking gate</x:v>
      </x:c>
      <x:c r="B13" s="81" t="str">
        <x:v>Licence model points and ranking gate</x:v>
      </x:c>
      <x:c r="C13" s="81" t="str">
        <x:v>Licence model points and ranking gate</x:v>
      </x:c>
      <x:c r="D13" s="81" t="str">
        <x:v>Licence model points and ranking gate</x:v>
      </x:c>
      <x:c r="E13" s="76"/>
      <x:c r="F13" s="99" t="str">
        <x:v>Limit</x:v>
      </x:c>
      <x:c r="G13" s="99" t="str">
        <x:v>Effect</x:v>
      </x:c>
      <x:c r="H13" s="99" t="str">
        <x:v>Treatment</x:v>
      </x:c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24" hidden="0" customHeight="1">
      <x:c r="A14" s="99" t="str">
        <x:v>Licence model</x:v>
      </x:c>
      <x:c r="B14" s="99" t="str">
        <x:v>Points</x:v>
      </x:c>
      <x:c r="C14" s="99" t="str">
        <x:v>Ranked?</x:v>
      </x:c>
      <x:c r="D14" s="99" t="str">
        <x:v>Plain-language meaning</x:v>
      </x:c>
      <x:c r="E14" s="76"/>
      <x:c r="F14" s="83" t="str">
        <x:v>GitHub stars are attention, not usage</x:v>
      </x:c>
      <x:c r="G14" s="83" t="str">
        <x:v>Large developer projects can dominate</x:v>
      </x:c>
      <x:c r="H14" s="83" t="str">
        <x:v>Use logarithmic scaling and cap adoption at 25 points.</x:v>
      </x:c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24" hidden="0" customHeight="1">
      <x:c r="A15" s="83" t="str">
        <x:v>Permissive open source</x:v>
      </x:c>
      <x:c r="B15" s="83" t="n">
        <x:v>10</x:v>
      </x:c>
      <x:c r="C15" s="83" t="str">
        <x:v>Yes</x:v>
      </x:c>
      <x:c r="D15" s="83" t="str">
        <x:v>Broad rights to use, change and redistribute.</x:v>
      </x:c>
      <x:c r="E15" s="76"/>
      <x:c r="F15" s="83" t="str">
        <x:v>Monorepos may have large issue counts</x:v>
      </x:c>
      <x:c r="G15" s="83" t="str">
        <x:v>Issue counts are not comparable</x:v>
      </x:c>
      <x:c r="H15" s="83" t="str">
        <x:v>Open issues are shown but do not affect the score.</x:v>
      </x:c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15" hidden="0" customHeight="1">
      <x:c r="A16" s="83" t="str">
        <x:v>Copyleft open source</x:v>
      </x:c>
      <x:c r="B16" s="83" t="n">
        <x:v>9</x:v>
      </x:c>
      <x:c r="C16" s="83" t="str">
        <x:v>Yes</x:v>
      </x:c>
      <x:c r="D16" s="83" t="str">
        <x:v>Open source with share-alike duties when distributing changes.</x:v>
      </x:c>
      <x:c r="E16" s="76"/>
      <x:c r="F16" s="83" t="str">
        <x:v>Recent pushes can be automated</x:v>
      </x:c>
      <x:c r="G16" s="83" t="str">
        <x:v>Activity can overstate maintainer health</x:v>
      </x:c>
      <x:c r="H16" s="83" t="str">
        <x:v>Show the raw date and keep activity at 20% of the score.</x:v>
      </x:c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15" hidden="0" customHeight="1">
      <x:c r="A17" s="83" t="str">
        <x:v>Open core (permissive)</x:v>
      </x:c>
      <x:c r="B17" s="83" t="n">
        <x:v>8</x:v>
      </x:c>
      <x:c r="C17" s="83" t="str">
        <x:v>Yes</x:v>
      </x:c>
      <x:c r="D17" s="83" t="str">
        <x:v>Open-source core plus separately licensed enterprise features.</x:v>
      </x:c>
      <x:c r="E17" s="76"/>
      <x:c r="F17" s="83" t="str">
        <x:v>Editorial inputs involve judgement</x:v>
      </x:c>
      <x:c r="G17" s="83" t="str">
        <x:v>Two reviewers may disagree</x:v>
      </x:c>
      <x:c r="H17" s="83" t="str">
        <x:v>Publish inputs and add evidence notes; allow corrections.</x:v>
      </x:c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24" hidden="0" customHeight="1">
      <x:c r="A18" s="83" t="str">
        <x:v>Open core (copyleft)</x:v>
      </x:c>
      <x:c r="B18" s="83" t="n">
        <x:v>7</x:v>
      </x:c>
      <x:c r="C18" s="83" t="str">
        <x:v>Yes</x:v>
      </x:c>
      <x:c r="D18" s="83" t="str">
        <x:v>Copyleft core plus separately licensed enterprise features.</x:v>
      </x:c>
      <x:c r="E18" s="76"/>
      <x:c r="F18" s="83" t="str">
        <x:v>Licence files can contain exceptions</x:v>
      </x:c>
      <x:c r="G18" s="83" t="str">
        <x:v>Repository metadata may be incomplete</x:v>
      </x:c>
      <x:c r="H18" s="83" t="str">
        <x:v>Read custom licence files and label open-core or restricted projects explicitly.</x:v>
      </x:c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24" hidden="0" customHeight="1">
      <x:c r="A19" s="83" t="str">
        <x:v>Source available</x:v>
      </x:c>
      <x:c r="B19" s="83" t="n">
        <x:v>2</x:v>
      </x:c>
      <x:c r="C19" s="83" t="str">
        <x:v>No</x:v>
      </x:c>
      <x:c r="D19" s="83" t="str">
        <x:v>Code can be read, but added restrictions prevent a strict open-source classification.</x:v>
      </x:c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15" hidden="0" customHeight="1">
      <x:c r="A20" s="83" t="str">
        <x:v>Unlicensed / unclear</x:v>
      </x:c>
      <x:c r="B20" s="83" t="n">
        <x:v>0</x:v>
      </x:c>
      <x:c r="C20" s="83" t="str">
        <x:v>No</x:v>
      </x:c>
      <x:c r="D20" s="83" t="str">
        <x:v>No verified licence grant; viewing code does not create permission to reuse it.</x:v>
      </x:c>
      <x:c r="E20" s="76"/>
      <x:c r="F20" s="76" t="str">
        <x:v>Research date</x:v>
      </x:c>
      <x:c r="G20" s="92" t="n">
        <x:v>46223</x:v>
      </x:c>
      <x:c r="H20" s="76"/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15" hidden="0" customHeight="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15" hidden="0" customHeight="1">
      <x:c r="A22" s="76"/>
      <x:c r="B22" s="76"/>
      <x:c r="C22" s="76"/>
      <x:c r="D22" s="76"/>
      <x:c r="E22" s="76"/>
      <x:c r="F22" s="76"/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15" hidden="0" customHeight="1">
      <x:c r="A23" s="76"/>
      <x:c r="B23" s="76"/>
      <x:c r="C23" s="76"/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15" hidden="0" customHeight="1">
      <x:c r="A24" s="76"/>
      <x:c r="B24" s="76"/>
      <x:c r="C24" s="76"/>
      <x:c r="D24" s="76"/>
      <x:c r="E24" s="76"/>
      <x:c r="F24" s="76"/>
      <x:c r="G24" s="76"/>
      <x:c r="H24" s="76"/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15" hidden="0" customHeight="1">
      <x:c r="A25" s="76"/>
      <x:c r="B25" s="76"/>
      <x:c r="C25" s="76"/>
      <x:c r="D25" s="76"/>
      <x:c r="E25" s="76"/>
      <x:c r="F25" s="76"/>
      <x:c r="G25" s="76"/>
      <x:c r="H25" s="76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15" hidden="0" customHeight="1">
      <x:c r="A26" s="76"/>
      <x:c r="B26" s="76"/>
      <x:c r="C26" s="76"/>
      <x:c r="D26" s="76"/>
      <x:c r="E26" s="76"/>
      <x:c r="F26" s="76"/>
      <x:c r="G26" s="76"/>
      <x:c r="H26" s="76"/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15" hidden="0" customHeight="1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15" hidden="0" customHeight="1">
      <x:c r="A28" s="76"/>
      <x:c r="B28" s="76"/>
      <x:c r="C28" s="76"/>
      <x:c r="D28" s="76"/>
      <x:c r="E28" s="76"/>
      <x:c r="F28" s="76"/>
      <x:c r="G28" s="76"/>
      <x:c r="H28" s="76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15" hidden="0" customHeight="1">
      <x:c r="A29" s="76"/>
      <x:c r="B29" s="76"/>
      <x:c r="C29" s="76"/>
      <x:c r="D29" s="76"/>
      <x:c r="E29" s="76"/>
      <x:c r="F29" s="76"/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15" hidden="0" customHeight="1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15" hidden="0" customHeight="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15" hidden="0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15" hidden="0" customHeight="1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15" hidden="0" customHeight="1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15" hidden="0" customHeight="1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15" hidden="0" customHeight="1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15" hidden="0" customHeight="1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15" hidden="0" customHeight="1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15" hidden="0" customHeight="1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15" hidden="0" customHeight="1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15" hidden="0" customHeight="1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15" hidden="0" customHeight="1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2:H2"/>
    <x:mergeCell ref="A4:D4"/>
    <x:mergeCell ref="A13:D13"/>
    <x:mergeCell ref="F4:H4"/>
    <x:mergeCell ref="F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34" hidden="0" customWidth="1"/>
    <x:col min="5" max="5" width="18" hidden="0" customWidth="1"/>
    <x:col min="6" max="6" width="28" hidden="0" customWidth="1"/>
    <x:col min="7" max="7" width="30" hidden="0" customWidth="1"/>
    <x:col min="8" max="8" width="34" hidden="0" customWidth="1"/>
  </x:cols>
  <x:sheetData>
    <x:row r="1" ht="36" hidden="0" customHeight="1">
      <x:c r="A1" s="73" t="str">
        <x:v>Product blueprint — an open-source clone that improves on the reference model</x:v>
      </x:c>
      <x:c r="B1" s="73" t="str">
        <x:v>Product blueprint — an open-source clone that improves on the reference model</x:v>
      </x:c>
      <x:c r="C1" s="73" t="str">
        <x:v>Product blueprint — an open-source clone that improves on the reference model</x:v>
      </x:c>
      <x:c r="D1" s="73" t="str">
        <x:v>Product blueprint — an open-source clone that improves on the reference model</x:v>
      </x:c>
      <x:c r="E1" s="73" t="str">
        <x:v>Product blueprint — an open-source clone that improves on the reference model</x:v>
      </x:c>
      <x:c r="F1" s="73" t="str">
        <x:v>Product blueprint — an open-source clone that improves on the reference model</x:v>
      </x:c>
      <x:c r="G1" s="73" t="str">
        <x:v>Product blueprint — an open-source clone that improves on the reference model</x:v>
      </x:c>
      <x:c r="H1" s="73" t="str">
        <x:v>Product blueprint — an open-source clone that improves on the reference model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15" hidden="0" customHeight="1">
      <x:c r="A3" s="81" t="str">
        <x:v>Product definition</x:v>
      </x:c>
      <x:c r="B3" s="81" t="str">
        <x:v>Product definition</x:v>
      </x:c>
      <x:c r="C3" s="81" t="str">
        <x:v>Product definition</x:v>
      </x:c>
      <x:c r="D3" s="81" t="str">
        <x:v>Product definition</x:v>
      </x:c>
      <x:c r="E3" s="81" t="str">
        <x:v>Product definition</x:v>
      </x:c>
      <x:c r="F3" s="81" t="str">
        <x:v>Product definition</x:v>
      </x:c>
      <x:c r="G3" s="81" t="str">
        <x:v>Product definition</x:v>
      </x:c>
      <x:c r="H3" s="81" t="str">
        <x:v>Product definition</x:v>
      </x:c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15" hidden="0" customHeight="1">
      <x:c r="A4" s="82" t="str">
        <x:v>Element</x:v>
      </x:c>
      <x:c r="B4" s="82" t="str">
        <x:v>Decision</x:v>
      </x:c>
      <x:c r="C4" s="82" t="str">
        <x:v>What users see</x:v>
      </x:c>
      <x:c r="D4" s="82" t="str">
        <x:v>Why it matters</x:v>
      </x:c>
      <x:c r="E4" s="82" t="str">
        <x:v>MVP?</x:v>
      </x:c>
      <x:c r="F4" s="82" t="str">
        <x:v>Owner</x:v>
      </x:c>
      <x:c r="G4" s="82" t="str">
        <x:v>Evidence</x:v>
      </x:c>
      <x:c r="H4" s="82" t="str">
        <x:v>Acceptance check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24" hidden="0" customHeight="1">
      <x:c r="A5" s="83" t="str">
        <x:v>Name</x:v>
      </x:c>
      <x:c r="B5" s="83" t="str">
        <x:v>Open GTM Index</x:v>
      </x:c>
      <x:c r="C5" s="83" t="str">
        <x:v>A public directory and ranking of open-source GTM software</x:v>
      </x:c>
      <x:c r="D5" s="83" t="str">
        <x:v>Clear and literal</x:v>
      </x:c>
      <x:c r="E5" s="83" t="str">
        <x:v>Yes</x:v>
      </x:c>
      <x:c r="F5" s="83" t="str">
        <x:v>Product</x:v>
      </x:c>
      <x:c r="G5" s="83" t="str">
        <x:v>Design content sheet</x:v>
      </x:c>
      <x:c r="H5" s="83" t="str">
        <x:v>Title appears consistently</x:v>
      </x:c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24" hidden="0" customHeight="1">
      <x:c r="A6" s="83" t="str">
        <x:v>Core promise</x:v>
      </x:c>
      <x:c r="B6" s="83" t="str">
        <x:v>Every score is inspectable</x:v>
      </x:c>
      <x:c r="C6" s="83" t="str">
        <x:v>Raw GitHub inputs, editorial ratings and formulas beside every tool</x:v>
      </x:c>
      <x:c r="D6" s="83" t="str">
        <x:v>Trust comes from evidence rather than a locked table</x:v>
      </x:c>
      <x:c r="E6" s="83" t="str">
        <x:v>Yes</x:v>
      </x:c>
      <x:c r="F6" s="83" t="str">
        <x:v>Data</x:v>
      </x:c>
      <x:c r="G6" s="83" t="str">
        <x:v>Scoring Method</x:v>
      </x:c>
      <x:c r="H6" s="83" t="str">
        <x:v>A user can reproduce one score</x:v>
      </x:c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36" hidden="0" customHeight="1">
      <x:c r="A7" s="83" t="str">
        <x:v>Scope</x:v>
      </x:c>
      <x:c r="B7" s="83" t="str">
        <x:v>Applications and developer tools that materially support B2B sales, marketing, support or related data work</x:v>
      </x:c>
      <x:c r="C7" s="83" t="str">
        <x:v>Thirteen clear categories</x:v>
      </x:c>
      <x:c r="D7" s="83" t="str">
        <x:v>Prevents the directory becoming a generic software list</x:v>
      </x:c>
      <x:c r="E7" s="83" t="str">
        <x:v>Yes</x:v>
      </x:c>
      <x:c r="F7" s="83" t="str">
        <x:v>Editorial</x:v>
      </x:c>
      <x:c r="G7" s="83" t="str">
        <x:v>Category Leaders</x:v>
      </x:c>
      <x:c r="H7" s="83" t="str">
        <x:v>Every tool has one primary category</x:v>
      </x:c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24" hidden="0" customHeight="1">
      <x:c r="A8" s="83" t="str">
        <x:v>Licence policy</x:v>
      </x:c>
      <x:c r="B8" s="83" t="str">
        <x:v>Rank only projects with a verified open-source core licence</x:v>
      </x:c>
      <x:c r="C8" s="83" t="str">
        <x:v>Restricted projects appear in a clearly labelled watchlist</x:v>
      </x:c>
      <x:c r="D8" s="83" t="str">
        <x:v>Avoids calling code open source when reuse is restricted</x:v>
      </x:c>
      <x:c r="E8" s="83" t="str">
        <x:v>Yes</x:v>
      </x:c>
      <x:c r="F8" s="83" t="str">
        <x:v>Editorial</x:v>
      </x:c>
      <x:c r="G8" s="83" t="str">
        <x:v>Licence file</x:v>
      </x:c>
      <x:c r="H8" s="83" t="str">
        <x:v>Every row has licence model and eligibility</x:v>
      </x:c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15" hidden="0" customHeight="1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15" hidden="0" customHeight="1">
      <x:c r="A10" s="81" t="str">
        <x:v>First release features</x:v>
      </x:c>
      <x:c r="B10" s="81" t="str">
        <x:v>First release features</x:v>
      </x:c>
      <x:c r="C10" s="81" t="str">
        <x:v>First release features</x:v>
      </x:c>
      <x:c r="D10" s="81" t="str">
        <x:v>First release features</x:v>
      </x:c>
      <x:c r="E10" s="81" t="str">
        <x:v>First release features</x:v>
      </x:c>
      <x:c r="F10" s="81" t="str">
        <x:v>First release features</x:v>
      </x:c>
      <x:c r="G10" s="81" t="str">
        <x:v>First release features</x:v>
      </x:c>
      <x:c r="H10" s="81" t="str">
        <x:v>First release features</x:v>
      </x:c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15" hidden="0" customHeight="1">
      <x:c r="A11" s="82" t="str">
        <x:v>Priority</x:v>
      </x:c>
      <x:c r="B11" s="82" t="str">
        <x:v>Feature</x:v>
      </x:c>
      <x:c r="C11" s="82" t="str">
        <x:v>User action</x:v>
      </x:c>
      <x:c r="D11" s="82" t="str">
        <x:v>Required data</x:v>
      </x:c>
      <x:c r="E11" s="82" t="str">
        <x:v>Implementation</x:v>
      </x:c>
      <x:c r="F11" s="82" t="str">
        <x:v>Risk</x:v>
      </x:c>
      <x:c r="G11" s="82" t="str">
        <x:v>Proof</x:v>
      </x:c>
      <x:c r="H11" s="82" t="str">
        <x:v>Release</x:v>
      </x:c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15" hidden="0" customHeight="1">
      <x:c r="A12" s="83" t="n">
        <x:v>1</x:v>
      </x:c>
      <x:c r="B12" s="83" t="str">
        <x:v>Category overview</x:v>
      </x:c>
      <x:c r="C12" s="83" t="str">
        <x:v>Scan leaders and category maturity</x:v>
      </x:c>
      <x:c r="D12" s="83" t="str">
        <x:v>Category, top five, eligible count</x:v>
      </x:c>
      <x:c r="E12" s="83" t="str">
        <x:v>Responsive ranked cards</x:v>
      </x:c>
      <x:c r="F12" s="83" t="str">
        <x:v>Cards can overstate weak categories</x:v>
      </x:c>
      <x:c r="G12" s="83" t="str">
        <x:v>Show sample counts and early-stage labels</x:v>
      </x:c>
      <x:c r="H12" s="83" t="str">
        <x:v>MVP</x:v>
      </x:c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24" hidden="0" customHeight="1">
      <x:c r="A13" s="83" t="n">
        <x:v>2</x:v>
      </x:c>
      <x:c r="B13" s="83" t="str">
        <x:v>Open rankings table</x:v>
      </x:c>
      <x:c r="C13" s="83" t="str">
        <x:v>Search, filter, sort and export</x:v>
      </x:c>
      <x:c r="D13" s="83" t="str">
        <x:v>All research columns and score components</x:v>
      </x:c>
      <x:c r="E13" s="83" t="str">
        <x:v>Server-rendered table plus CSV and JSON</x:v>
      </x:c>
      <x:c r="F13" s="83" t="str">
        <x:v>Wide tables are hard on mobile</x:v>
      </x:c>
      <x:c r="G13" s="83" t="str">
        <x:v>Column chooser and mobile detail view</x:v>
      </x:c>
      <x:c r="H13" s="83" t="str">
        <x:v>MVP</x:v>
      </x:c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24" hidden="0" customHeight="1">
      <x:c r="A14" s="83" t="n">
        <x:v>3</x:v>
      </x:c>
      <x:c r="B14" s="83" t="str">
        <x:v>Product profile</x:v>
      </x:c>
      <x:c r="C14" s="83" t="str">
        <x:v>Inspect evidence before choosing</x:v>
      </x:c>
      <x:c r="D14" s="83" t="str">
        <x:v>Description, replacements, licence, activity, deployment notes, sources</x:v>
      </x:c>
      <x:c r="E14" s="83" t="str">
        <x:v>Static profile route per project</x:v>
      </x:c>
      <x:c r="F14" s="83" t="str">
        <x:v>Stale claims</x:v>
      </x:c>
      <x:c r="G14" s="83" t="str">
        <x:v>Show checked date and correction link</x:v>
      </x:c>
      <x:c r="H14" s="83" t="str">
        <x:v>MVP</x:v>
      </x:c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24" hidden="0" customHeight="1">
      <x:c r="A15" s="83" t="n">
        <x:v>4</x:v>
      </x:c>
      <x:c r="B15" s="83" t="str">
        <x:v>Methodology</x:v>
      </x:c>
      <x:c r="C15" s="83" t="str">
        <x:v>Reproduce a score</x:v>
      </x:c>
      <x:c r="D15" s="83" t="str">
        <x:v>Weights, formulas, gates and limits</x:v>
      </x:c>
      <x:c r="E15" s="83" t="str">
        <x:v>Versioned public document</x:v>
      </x:c>
      <x:c r="F15" s="83" t="str">
        <x:v>Score changes can confuse users</x:v>
      </x:c>
      <x:c r="G15" s="83" t="str">
        <x:v>Show method version on every score</x:v>
      </x:c>
      <x:c r="H15" s="83" t="str">
        <x:v>MVP</x:v>
      </x:c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24" hidden="0" customHeight="1">
      <x:c r="A16" s="83" t="n">
        <x:v>5</x:v>
      </x:c>
      <x:c r="B16" s="83" t="str">
        <x:v>Commercial replacement map</x:v>
      </x:c>
      <x:c r="C16" s="83" t="str">
        <x:v>Start from a paid product</x:v>
      </x:c>
      <x:c r="D16" s="83" t="str">
        <x:v>Paid product, open alternatives, limitations</x:v>
      </x:c>
      <x:c r="E16" s="83" t="str">
        <x:v>Searchable comparison pages</x:v>
      </x:c>
      <x:c r="F16" s="83" t="str">
        <x:v>False one-to-one equivalence</x:v>
      </x:c>
      <x:c r="G16" s="83" t="str">
        <x:v>Use 'replaces part of' language and limitations</x:v>
      </x:c>
      <x:c r="H16" s="83" t="str">
        <x:v>MVP</x:v>
      </x:c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24" hidden="0" customHeight="1">
      <x:c r="A17" s="83" t="n">
        <x:v>6</x:v>
      </x:c>
      <x:c r="B17" s="83" t="str">
        <x:v>Submission and correction</x:v>
      </x:c>
      <x:c r="C17" s="83" t="str">
        <x:v>Suggest a project or fix a field</x:v>
      </x:c>
      <x:c r="D17" s="83" t="str">
        <x:v>Repository, licence, category and evidence URLs</x:v>
      </x:c>
      <x:c r="E17" s="83" t="str">
        <x:v>Public form creates review issue</x:v>
      </x:c>
      <x:c r="F17" s="83" t="str">
        <x:v>Spam and unsupported claims</x:v>
      </x:c>
      <x:c r="G17" s="83" t="str">
        <x:v>Moderation checklist and change history</x:v>
      </x:c>
      <x:c r="H17" s="83" t="str">
        <x:v>MVP</x:v>
      </x:c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24" hidden="0" customHeight="1">
      <x:c r="A18" s="83" t="n">
        <x:v>7</x:v>
      </x:c>
      <x:c r="B18" s="83" t="str">
        <x:v>Saved comparison</x:v>
      </x:c>
      <x:c r="C18" s="83" t="str">
        <x:v>Compare two to four tools</x:v>
      </x:c>
      <x:c r="D18" s="83" t="str">
        <x:v>Selected rows and score components</x:v>
      </x:c>
      <x:c r="E18" s="83" t="str">
        <x:v>Client-side comparison state</x:v>
      </x:c>
      <x:c r="F18" s="83" t="str">
        <x:v>Can imply objective product quality</x:v>
      </x:c>
      <x:c r="G18" s="83" t="str">
        <x:v>Keep raw evidence visible</x:v>
      </x:c>
      <x:c r="H18" s="83" t="str">
        <x:v>Next</x:v>
      </x:c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15" hidden="0" customHeight="1">
      <x:c r="A19" s="83" t="n">
        <x:v>8</x:v>
      </x:c>
      <x:c r="B19" s="83" t="str">
        <x:v>Historical snapshots</x:v>
      </x:c>
      <x:c r="C19" s="83" t="str">
        <x:v>See activity and score changes</x:v>
      </x:c>
      <x:c r="D19" s="83" t="str">
        <x:v>Daily metadata snapshots</x:v>
      </x:c>
      <x:c r="E19" s="83" t="str">
        <x:v>Append-only data table</x:v>
      </x:c>
      <x:c r="F19" s="83" t="str">
        <x:v>Storage growth</x:v>
      </x:c>
      <x:c r="G19" s="83" t="str">
        <x:v>Monthly compact snapshots</x:v>
      </x:c>
      <x:c r="H19" s="83" t="str">
        <x:v>Next</x:v>
      </x:c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15" hidden="0" customHeight="1">
      <x:c r="A20" s="83" t="n">
        <x:v>9</x:v>
      </x:c>
      <x:c r="B20" s="83" t="str">
        <x:v>Community evidence</x:v>
      </x:c>
      <x:c r="C20" s="83" t="str">
        <x:v>Add deployment notes and corrections</x:v>
      </x:c>
      <x:c r="D20" s="83" t="str">
        <x:v>Moderated comments with citations</x:v>
      </x:c>
      <x:c r="E20" s="83" t="str">
        <x:v>Git-based contributions</x:v>
      </x:c>
      <x:c r="F20" s="83" t="str">
        <x:v>Opinion can overwhelm facts</x:v>
      </x:c>
      <x:c r="G20" s="83" t="str">
        <x:v>Require source URLs for factual claims</x:v>
      </x:c>
      <x:c r="H20" s="83" t="str">
        <x:v>Later</x:v>
      </x:c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15" hidden="0" customHeight="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15" hidden="0" customHeight="1">
      <x:c r="A22" s="81" t="str">
        <x:v>Suggested open-source implementation</x:v>
      </x:c>
      <x:c r="B22" s="81" t="str">
        <x:v>Suggested open-source implementation</x:v>
      </x:c>
      <x:c r="C22" s="81" t="str">
        <x:v>Suggested open-source implementation</x:v>
      </x:c>
      <x:c r="D22" s="81" t="str">
        <x:v>Suggested open-source implementation</x:v>
      </x:c>
      <x:c r="E22" s="81" t="str">
        <x:v>Suggested open-source implementation</x:v>
      </x:c>
      <x:c r="F22" s="81" t="str">
        <x:v>Suggested open-source implementation</x:v>
      </x:c>
      <x:c r="G22" s="81" t="str">
        <x:v>Suggested open-source implementation</x:v>
      </x:c>
      <x:c r="H22" s="81" t="str">
        <x:v>Suggested open-source implementation</x:v>
      </x:c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15" hidden="0" customHeight="1">
      <x:c r="A23" s="82" t="str">
        <x:v>Layer</x:v>
      </x:c>
      <x:c r="B23" s="82" t="str">
        <x:v>Choice</x:v>
      </x:c>
      <x:c r="C23" s="82" t="str">
        <x:v>Licence</x:v>
      </x:c>
      <x:c r="D23" s="82" t="str">
        <x:v>Purpose</x:v>
      </x:c>
      <x:c r="E23" s="82" t="str">
        <x:v>Why this choice</x:v>
      </x:c>
      <x:c r="F23" s="82" t="str">
        <x:v>Alternative</x:v>
      </x:c>
      <x:c r="G23" s="82" t="str">
        <x:v>MVP setup</x:v>
      </x:c>
      <x:c r="H23" s="82" t="str">
        <x:v>Exit condition</x:v>
      </x:c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24" hidden="0" customHeight="1">
      <x:c r="A24" s="83" t="str">
        <x:v>Web application</x:v>
      </x:c>
      <x:c r="B24" s="83" t="str">
        <x:v>Next.js + React</x:v>
      </x:c>
      <x:c r="C24" s="83" t="str">
        <x:v>MIT</x:v>
      </x:c>
      <x:c r="D24" s="83" t="str">
        <x:v>Pages, filtering and server rendering</x:v>
      </x:c>
      <x:c r="E24" s="83" t="str">
        <x:v>Large contributor base and simple static output</x:v>
      </x:c>
      <x:c r="F24" s="83" t="str">
        <x:v>Astro</x:v>
      </x:c>
      <x:c r="G24" s="83" t="str">
        <x:v>One application</x:v>
      </x:c>
      <x:c r="H24" s="83" t="str">
        <x:v>Switch only if build complexity becomes a problem</x:v>
      </x:c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24" hidden="0" customHeight="1">
      <x:c r="A25" s="83" t="str">
        <x:v>Database</x:v>
      </x:c>
      <x:c r="B25" s="83" t="str">
        <x:v>PostgreSQL</x:v>
      </x:c>
      <x:c r="C25" s="83" t="str">
        <x:v>PostgreSQL Licence</x:v>
      </x:c>
      <x:c r="D25" s="83" t="str">
        <x:v>Projects, sources, scores and snapshots</x:v>
      </x:c>
      <x:c r="E25" s="83" t="str">
        <x:v>Reliable relational data and full-text support</x:v>
      </x:c>
      <x:c r="F25" s="83" t="str">
        <x:v>SQLite for a small prototype</x:v>
      </x:c>
      <x:c r="G25" s="83" t="str">
        <x:v>Docker container</x:v>
      </x:c>
      <x:c r="H25" s="83" t="str">
        <x:v>Add managed hosting only when needed</x:v>
      </x:c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24" hidden="0" customHeight="1">
      <x:c r="A26" s="83" t="str">
        <x:v>Search</x:v>
      </x:c>
      <x:c r="B26" s="83" t="str">
        <x:v>PostgreSQL full-text search</x:v>
      </x:c>
      <x:c r="C26" s="83" t="str">
        <x:v>Included</x:v>
      </x:c>
      <x:c r="D26" s="83" t="str">
        <x:v>Name, replacement and category search</x:v>
      </x:c>
      <x:c r="E26" s="83" t="str">
        <x:v>Avoids another service in the first release</x:v>
      </x:c>
      <x:c r="F26" s="83" t="str">
        <x:v>Meilisearch</x:v>
      </x:c>
      <x:c r="G26" s="83" t="str">
        <x:v>Database index</x:v>
      </x:c>
      <x:c r="H26" s="83" t="str">
        <x:v>Add Meilisearch if search quality or scale requires it</x:v>
      </x:c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24" hidden="0" customHeight="1">
      <x:c r="A27" s="83" t="str">
        <x:v>Data collection</x:v>
      </x:c>
      <x:c r="B27" s="83" t="str">
        <x:v>GitHub REST API</x:v>
      </x:c>
      <x:c r="C27" s="83" t="str">
        <x:v>Public API terms</x:v>
      </x:c>
      <x:c r="D27" s="83" t="str">
        <x:v>Stars, forks, licence metadata and activity</x:v>
      </x:c>
      <x:c r="E27" s="83" t="str">
        <x:v>Primary public source for repository facts</x:v>
      </x:c>
      <x:c r="F27" s="83" t="str">
        <x:v>GitLab and Codeberg APIs</x:v>
      </x:c>
      <x:c r="G27" s="83" t="str">
        <x:v>Nightly scheduled job</x:v>
      </x:c>
      <x:c r="H27" s="83" t="str">
        <x:v>Add more hosts after demand is proven</x:v>
      </x:c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24" hidden="0" customHeight="1">
      <x:c r="A28" s="83" t="str">
        <x:v>Scoring</x:v>
      </x:c>
      <x:c r="B28" s="83" t="str">
        <x:v>Versioned TypeScript module</x:v>
      </x:c>
      <x:c r="C28" s="83" t="str">
        <x:v>Project licence</x:v>
      </x:c>
      <x:c r="D28" s="83" t="str">
        <x:v>Calculate transparent component scores</x:v>
      </x:c>
      <x:c r="E28" s="83" t="str">
        <x:v>Same logic can power the site and data export</x:v>
      </x:c>
      <x:c r="F28" s="83" t="str">
        <x:v>SQL view</x:v>
      </x:c>
      <x:c r="G28" s="83" t="str">
        <x:v>Pure deterministic function</x:v>
      </x:c>
      <x:c r="H28" s="83" t="str">
        <x:v>Change only with a published method version</x:v>
      </x:c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15" hidden="0" customHeight="1">
      <x:c r="A29" s="83" t="str">
        <x:v>Charts</x:v>
      </x:c>
      <x:c r="B29" s="83" t="str">
        <x:v>Apache ECharts</x:v>
      </x:c>
      <x:c r="C29" s="83" t="str">
        <x:v>Apache-2.0</x:v>
      </x:c>
      <x:c r="D29" s="83" t="str">
        <x:v>Category and score visuals</x:v>
      </x:c>
      <x:c r="E29" s="83" t="str">
        <x:v>Accessible and flexible</x:v>
      </x:c>
      <x:c r="F29" s="83" t="str">
        <x:v>Observable Plot</x:v>
      </x:c>
      <x:c r="G29" s="83" t="str">
        <x:v>Two charts maximum</x:v>
      </x:c>
      <x:c r="H29" s="83" t="str">
        <x:v>Keep charts only when they clarify decisions</x:v>
      </x:c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24" hidden="0" customHeight="1">
      <x:c r="A30" s="83" t="str">
        <x:v>Contributions</x:v>
      </x:c>
      <x:c r="B30" s="83" t="str">
        <x:v>GitHub issues and pull requests</x:v>
      </x:c>
      <x:c r="C30" s="83" t="str">
        <x:v>Repository policy</x:v>
      </x:c>
      <x:c r="D30" s="83" t="str">
        <x:v>Submissions and corrections</x:v>
      </x:c>
      <x:c r="E30" s="83" t="str">
        <x:v>Public history with low implementation cost</x:v>
      </x:c>
      <x:c r="F30" s="83" t="str">
        <x:v>Hosted form feeding the same queue</x:v>
      </x:c>
      <x:c r="G30" s="83" t="str">
        <x:v>Issue forms</x:v>
      </x:c>
      <x:c r="H30" s="83" t="str">
        <x:v>Add custom moderation UI after volume grows</x:v>
      </x:c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24" hidden="0" customHeight="1">
      <x:c r="A31" s="83" t="str">
        <x:v>Deployment</x:v>
      </x:c>
      <x:c r="B31" s="83" t="str">
        <x:v>Docker Compose</x:v>
      </x:c>
      <x:c r="C31" s="83" t="str">
        <x:v>Project licence</x:v>
      </x:c>
      <x:c r="D31" s="83" t="str">
        <x:v>Repeatable self-hosting</x:v>
      </x:c>
      <x:c r="E31" s="83" t="str">
        <x:v>Matches the site's promise</x:v>
      </x:c>
      <x:c r="F31" s="83" t="str">
        <x:v>Managed cloud</x:v>
      </x:c>
      <x:c r="G31" s="83" t="str">
        <x:v>Web + database</x:v>
      </x:c>
      <x:c r="H31" s="83" t="str">
        <x:v>Document backup, restore and upgrades before launch</x:v>
      </x:c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15" hidden="0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15" hidden="0" customHeight="1">
      <x:c r="A33" s="81" t="str">
        <x:v>Data flow</x:v>
      </x:c>
      <x:c r="B33" s="81" t="str">
        <x:v>Data flow</x:v>
      </x:c>
      <x:c r="C33" s="81" t="str">
        <x:v>Data flow</x:v>
      </x:c>
      <x:c r="D33" s="81" t="str">
        <x:v>Data flow</x:v>
      </x:c>
      <x:c r="E33" s="81" t="str">
        <x:v>Data flow</x:v>
      </x:c>
      <x:c r="F33" s="81" t="str">
        <x:v>Data flow</x:v>
      </x:c>
      <x:c r="G33" s="81" t="str">
        <x:v>Data flow</x:v>
      </x:c>
      <x:c r="H33" s="81" t="str">
        <x:v>Data flow</x:v>
      </x:c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82" t="str">
        <x:v>Step</x:v>
      </x:c>
      <x:c r="B34" s="82" t="str">
        <x:v>Action</x:v>
      </x:c>
      <x:c r="C34" s="82" t="str">
        <x:v>Input</x:v>
      </x:c>
      <x:c r="D34" s="82" t="str">
        <x:v>Validation</x:v>
      </x:c>
      <x:c r="E34" s="82" t="str">
        <x:v>Output</x:v>
      </x:c>
      <x:c r="F34" s="82" t="str">
        <x:v>Frequency</x:v>
      </x:c>
      <x:c r="G34" s="82" t="str">
        <x:v>Failure handling</x:v>
      </x:c>
      <x:c r="H34" s="82" t="str">
        <x:v>Visible to users</x:v>
      </x:c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83" t="n">
        <x:v>1</x:v>
      </x:c>
      <x:c r="B35" s="83" t="str">
        <x:v>Fetch repository metadata</x:v>
      </x:c>
      <x:c r="C35" s="83" t="str">
        <x:v>Approved repository list</x:v>
      </x:c>
      <x:c r="D35" s="83" t="str">
        <x:v>Repository exists and is not archived</x:v>
      </x:c>
      <x:c r="E35" s="83" t="str">
        <x:v>Raw snapshot</x:v>
      </x:c>
      <x:c r="F35" s="83" t="str">
        <x:v>Nightly</x:v>
      </x:c>
      <x:c r="G35" s="83" t="str">
        <x:v>Keep last successful snapshot</x:v>
      </x:c>
      <x:c r="H35" s="83" t="str">
        <x:v>Checked timestamp</x:v>
      </x:c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24" hidden="0" customHeight="1">
      <x:c r="A36" s="83" t="n">
        <x:v>2</x:v>
      </x:c>
      <x:c r="B36" s="83" t="str">
        <x:v>Read licence classification</x:v>
      </x:c>
      <x:c r="C36" s="83" t="str">
        <x:v>Licence file and manual exceptions</x:v>
      </x:c>
      <x:c r="D36" s="83" t="str">
        <x:v>Reviewer confirms custom terms</x:v>
      </x:c>
      <x:c r="E36" s="83" t="str">
        <x:v>Licence model and eligibility</x:v>
      </x:c>
      <x:c r="F36" s="83" t="str">
        <x:v>On change</x:v>
      </x:c>
      <x:c r="G36" s="83" t="str">
        <x:v>Remove rank until clear</x:v>
      </x:c>
      <x:c r="H36" s="83" t="str">
        <x:v>Licence label and source</x:v>
      </x:c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83" t="n">
        <x:v>3</x:v>
      </x:c>
      <x:c r="B37" s="83" t="str">
        <x:v>Calculate score</x:v>
      </x:c>
      <x:c r="C37" s="83" t="str">
        <x:v>Raw metrics and editorial ratings</x:v>
      </x:c>
      <x:c r="D37" s="83" t="str">
        <x:v>All components within allowed range</x:v>
      </x:c>
      <x:c r="E37" s="83" t="str">
        <x:v>Score and category rank</x:v>
      </x:c>
      <x:c r="F37" s="83" t="str">
        <x:v>Nightly</x:v>
      </x:c>
      <x:c r="G37" s="83" t="str">
        <x:v>Fail closed and keep prior score</x:v>
      </x:c>
      <x:c r="H37" s="83" t="str">
        <x:v>Component breakdown</x:v>
      </x:c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15" hidden="0" customHeight="1">
      <x:c r="A38" s="83" t="n">
        <x:v>4</x:v>
      </x:c>
      <x:c r="B38" s="83" t="str">
        <x:v>Publish site and exports</x:v>
      </x:c>
      <x:c r="C38" s="83" t="str">
        <x:v>Validated records</x:v>
      </x:c>
      <x:c r="D38" s="83" t="str">
        <x:v>Row count and formula checks</x:v>
      </x:c>
      <x:c r="E38" s="83" t="str">
        <x:v>HTML, JSON and CSV</x:v>
      </x:c>
      <x:c r="F38" s="83" t="str">
        <x:v>After successful update</x:v>
      </x:c>
      <x:c r="G38" s="83" t="str">
        <x:v>Do not publish partial data</x:v>
      </x:c>
      <x:c r="H38" s="83" t="str">
        <x:v>Method version and updated date</x:v>
      </x:c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24" hidden="0" customHeight="1">
      <x:c r="A39" s="83" t="n">
        <x:v>5</x:v>
      </x:c>
      <x:c r="B39" s="83" t="str">
        <x:v>Review corrections</x:v>
      </x:c>
      <x:c r="C39" s="83" t="str">
        <x:v>Public issue or form</x:v>
      </x:c>
      <x:c r="D39" s="83" t="str">
        <x:v>Source URLs and category fit</x:v>
      </x:c>
      <x:c r="E39" s="83" t="str">
        <x:v>Accepted change with audit history</x:v>
      </x:c>
      <x:c r="F39" s="83" t="str">
        <x:v>Continuous</x:v>
      </x:c>
      <x:c r="G39" s="83" t="str">
        <x:v>Reject unsupported claims with reason</x:v>
      </x:c>
      <x:c r="H39" s="83" t="str">
        <x:v>Change log</x:v>
      </x:c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24" hidden="0" customHeight="1">
      <x:c r="A40" s="83" t="n">
        <x:v>6</x:v>
      </x:c>
      <x:c r="B40" s="83" t="str">
        <x:v>Quarterly editorial review</x:v>
      </x:c>
      <x:c r="C40" s="83" t="str">
        <x:v>Deployment and GTM-fit inputs</x:v>
      </x:c>
      <x:c r="D40" s="83" t="str">
        <x:v>Second reviewer for large changes</x:v>
      </x:c>
      <x:c r="E40" s="83" t="str">
        <x:v>Updated ratings and notes</x:v>
      </x:c>
      <x:c r="F40" s="83" t="str">
        <x:v>Quarterly</x:v>
      </x:c>
      <x:c r="G40" s="83" t="str">
        <x:v>Record disagreement</x:v>
      </x:c>
      <x:c r="H40" s="83" t="str">
        <x:v>Review date and evidence</x:v>
      </x:c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15" hidden="0" customHeight="1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15" hidden="0" customHeight="1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15" hidden="0" customHeight="1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15" hidden="0" customHeight="1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15" hidden="0" customHeight="1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3:H3"/>
    <x:mergeCell ref="A10:H10"/>
    <x:mergeCell ref="A22:H22"/>
    <x:mergeCell ref="A33:H3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18" hidden="0" customWidth="1"/>
    <x:col min="4" max="4" width="18" hidden="0" customWidth="1"/>
    <x:col min="5" max="5" width="28" hidden="0" customWidth="1"/>
    <x:col min="6" max="6" width="34" hidden="0" customWidth="1"/>
    <x:col min="7" max="7" width="22" hidden="0" customWidth="1"/>
    <x:col min="8" max="8" width="40" hidden="0" customWidth="1"/>
  </x:cols>
  <x:sheetData>
    <x:row r="1" ht="36" hidden="0" customHeight="1">
      <x:c r="A1" s="73" t="str">
        <x:v>Real content pack for design generation</x:v>
      </x:c>
      <x:c r="B1" s="73" t="str">
        <x:v>Real content pack for design generation</x:v>
      </x:c>
      <x:c r="C1" s="73" t="str">
        <x:v>Real content pack for design generation</x:v>
      </x:c>
      <x:c r="D1" s="73" t="str">
        <x:v>Real content pack for design generation</x:v>
      </x:c>
      <x:c r="E1" s="73" t="str">
        <x:v>Real content pack for design generation</x:v>
      </x:c>
      <x:c r="F1" s="73" t="str">
        <x:v>Real content pack for design generation</x:v>
      </x:c>
      <x:c r="G1" s="73" t="str">
        <x:v>Real content pack for design generation</x:v>
      </x:c>
      <x:c r="H1" s="73" t="str">
        <x:v>Real content pack for design generation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15" hidden="0" customHeight="1">
      <x:c r="A3" s="81" t="str">
        <x:v>Brand and page copy</x:v>
      </x:c>
      <x:c r="B3" s="81" t="str">
        <x:v>Brand and page copy</x:v>
      </x:c>
      <x:c r="C3" s="81" t="str">
        <x:v>Brand and page copy</x:v>
      </x:c>
      <x:c r="D3" s="81" t="str">
        <x:v>Brand and page copy</x:v>
      </x:c>
      <x:c r="E3" s="81" t="str">
        <x:v>Brand and page copy</x:v>
      </x:c>
      <x:c r="F3" s="81" t="str">
        <x:v>Brand and page copy</x:v>
      </x:c>
      <x:c r="G3" s="81" t="str">
        <x:v>Brand and page copy</x:v>
      </x:c>
      <x:c r="H3" s="81" t="str">
        <x:v>Brand and page copy</x:v>
      </x:c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15" hidden="0" customHeight="1">
      <x:c r="A4" s="82" t="str">
        <x:v>Content type</x:v>
      </x:c>
      <x:c r="B4" s="82" t="str">
        <x:v>Exact text</x:v>
      </x:c>
      <x:c r="C4" s="82" t="str">
        <x:v>Placement</x:v>
      </x:c>
      <x:c r="D4" s="82" t="str">
        <x:v>Evidence</x:v>
      </x:c>
      <x:c r="E4" s="82" t="str">
        <x:v>Tone</x:v>
      </x:c>
      <x:c r="F4" s="82" t="str">
        <x:v>Must keep</x:v>
      </x:c>
      <x:c r="G4" s="82" t="str">
        <x:v>Can change</x:v>
      </x:c>
      <x:c r="H4" s="82" t="str">
        <x:v>Notes</x:v>
      </x:c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15" hidden="0" customHeight="1">
      <x:c r="A5" s="83" t="str">
        <x:v>Product name</x:v>
      </x:c>
      <x:c r="B5" s="83" t="str">
        <x:v>Open GTM Index</x:v>
      </x:c>
      <x:c r="C5" s="83" t="str">
        <x:v>Header and page title</x:v>
      </x:c>
      <x:c r="D5" s="83" t="str">
        <x:v>Product blueprint</x:v>
      </x:c>
      <x:c r="E5" s="83" t="str">
        <x:v>Direct</x:v>
      </x:c>
      <x:c r="F5" s="83" t="str">
        <x:v>Open GTM Index</x:v>
      </x:c>
      <x:c r="G5" s="83" t="str">
        <x:v>Typography</x:v>
      </x:c>
      <x:c r="H5" s="83" t="str">
        <x:v>Do not imitate Adam's brand name or logo</x:v>
      </x:c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24" hidden="0" customHeight="1">
      <x:c r="A6" s="83" t="str">
        <x:v>Tagline</x:v>
      </x:c>
      <x:c r="B6" s="83" t="str">
        <x:v>Ranked tools you can inspect, self-host, and improve.</x:v>
      </x:c>
      <x:c r="C6" s="83" t="str">
        <x:v>Hero</x:v>
      </x:c>
      <x:c r="D6" s="83" t="str">
        <x:v>Research conclusion</x:v>
      </x:c>
      <x:c r="E6" s="83" t="str">
        <x:v>Confident and plain</x:v>
      </x:c>
      <x:c r="F6" s="83" t="str">
        <x:v>Exact wording</x:v>
      </x:c>
      <x:c r="G6" s="83" t="str">
        <x:v>Line break</x:v>
      </x:c>
      <x:c r="H6" s="83" t="str">
        <x:v>No inflated claims</x:v>
      </x:c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24" hidden="0" customHeight="1">
      <x:c r="A7" s="83" t="str">
        <x:v>Data proof</x:v>
      </x:c>
      <x:c r="B7" s="83" t="str">
        <x:v>53 projects reviewed · 50 ranked · 13 categories · checked 20 July 2026</x:v>
      </x:c>
      <x:c r="C7" s="83" t="str">
        <x:v>Hero metadata</x:v>
      </x:c>
      <x:c r="D7" s="83" t="str">
        <x:v>Tool Rankings</x:v>
      </x:c>
      <x:c r="E7" s="83" t="str">
        <x:v>Factual</x:v>
      </x:c>
      <x:c r="F7" s="83" t="str">
        <x:v>All numbers</x:v>
      </x:c>
      <x:c r="G7" s="83" t="str">
        <x:v>Separator style</x:v>
      </x:c>
      <x:c r="H7" s="83" t="str">
        <x:v>Point-in-time snapshot</x:v>
      </x:c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15" hidden="0" customHeight="1">
      <x:c r="A8" s="83" t="str">
        <x:v>Primary action</x:v>
      </x:c>
      <x:c r="B8" s="83" t="str">
        <x:v>Explore the rankings</x:v>
      </x:c>
      <x:c r="C8" s="83" t="str">
        <x:v>Hero button</x:v>
      </x:c>
      <x:c r="D8" s="83" t="str">
        <x:v>Page structure</x:v>
      </x:c>
      <x:c r="E8" s="83" t="str">
        <x:v>Action</x:v>
      </x:c>
      <x:c r="F8" s="83" t="str">
        <x:v>Exact wording</x:v>
      </x:c>
      <x:c r="G8" s="83" t="str">
        <x:v>Button style</x:v>
      </x:c>
      <x:c r="H8" s="83" t="str">
        <x:v>Public; no sign-up</x:v>
      </x:c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15" hidden="0" customHeight="1">
      <x:c r="A9" s="83" t="str">
        <x:v>Secondary action</x:v>
      </x:c>
      <x:c r="B9" s="83" t="str">
        <x:v>Read the scoring method</x:v>
      </x:c>
      <x:c r="C9" s="83" t="str">
        <x:v>Hero link</x:v>
      </x:c>
      <x:c r="D9" s="83" t="str">
        <x:v>Scoring Method</x:v>
      </x:c>
      <x:c r="E9" s="83" t="str">
        <x:v>Action</x:v>
      </x:c>
      <x:c r="F9" s="83" t="str">
        <x:v>Exact wording</x:v>
      </x:c>
      <x:c r="G9" s="83" t="str">
        <x:v>Link style</x:v>
      </x:c>
      <x:c r="H9" s="83" t="str">
        <x:v>Opens methodology</x:v>
      </x:c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36" hidden="0" customHeight="1">
      <x:c r="A10" s="83" t="str">
        <x:v>Trust note</x:v>
      </x:c>
      <x:c r="B10" s="83" t="str">
        <x:v>Every score input and source is public. Projects with restricted or unclear licences are visible but not ranked.</x:v>
      </x:c>
      <x:c r="C10" s="83" t="str">
        <x:v>Below hero or table</x:v>
      </x:c>
      <x:c r="D10" s="83" t="str">
        <x:v>Licence policy</x:v>
      </x:c>
      <x:c r="E10" s="83" t="str">
        <x:v>Transparent</x:v>
      </x:c>
      <x:c r="F10" s="83" t="str">
        <x:v>Meaning</x:v>
      </x:c>
      <x:c r="G10" s="83" t="str">
        <x:v>Line break</x:v>
      </x:c>
      <x:c r="H10" s="83" t="str">
        <x:v>Core product difference</x:v>
      </x:c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15" hidden="0" customHeight="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15" hidden="0" customHeight="1">
      <x:c r="A12" s="81" t="str">
        <x:v>Category cards — use these real leaders</x:v>
      </x:c>
      <x:c r="B12" s="81" t="str">
        <x:v>Category cards — use these real leaders</x:v>
      </x:c>
      <x:c r="C12" s="81" t="str">
        <x:v>Category cards — use these real leaders</x:v>
      </x:c>
      <x:c r="D12" s="81" t="str">
        <x:v>Category cards — use these real leaders</x:v>
      </x:c>
      <x:c r="E12" s="81" t="str">
        <x:v>Category cards — use these real leaders</x:v>
      </x:c>
      <x:c r="F12" s="81" t="str">
        <x:v>Category cards — use these real leaders</x:v>
      </x:c>
      <x:c r="G12" s="81" t="str">
        <x:v>Category cards — use these real leaders</x:v>
      </x:c>
      <x:c r="H12" s="81" t="str">
        <x:v>Category cards — use these real leaders</x:v>
      </x:c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15" hidden="0" customHeight="1">
      <x:c r="A13" s="99" t="str">
        <x:v>Category</x:v>
      </x:c>
      <x:c r="B13" s="99" t="str">
        <x:v>Leader</x:v>
      </x:c>
      <x:c r="C13" s="99" t="str">
        <x:v>Score</x:v>
      </x:c>
      <x:c r="D13" s="99" t="str">
        <x:v>Eligible count</x:v>
      </x:c>
      <x:c r="E13" s="99" t="str">
        <x:v>Supporting tools</x:v>
      </x:c>
      <x:c r="F13" s="99" t="str">
        <x:v>Card description</x:v>
      </x:c>
      <x:c r="G13" s="99" t="str">
        <x:v>State</x:v>
      </x:c>
      <x:c r="H13" s="99" t="str">
        <x:v>Source</x:v>
      </x:c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24" hidden="0" customHeight="1">
      <x:c r="A14" s="83" t="str">
        <x:v>AI Answer Visibility</x:v>
      </x:c>
      <x:c r="B14" s="83" t="str">
        <x:v>No ranked project</x:v>
      </x:c>
      <x:c r="C14" s="84"/>
      <x:c r="D14" s="83" t="n">
        <x:v>0</x:v>
      </x:c>
      <x:c r="E14" s="83" t="str">
        <x:v>GEO/AEO Tracker (watchlist: licence unclear)</x:v>
      </x:c>
      <x:c r="F14" s="83" t="str">
        <x:v>No project in this research set has a verified open-source licence for this category.</x:v>
      </x:c>
      <x:c r="G14" s="83" t="str">
        <x:v>Early</x:v>
      </x:c>
      <x:c r="H14" s="83" t="str">
        <x:v>https://github.com/danishashko/geo-aeo-tracker</x:v>
      </x:c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24" hidden="0" customHeight="1">
      <x:c r="A15" s="83" t="str">
        <x:v>Agent &amp; GTM Developer Tools</x:v>
      </x:c>
      <x:c r="B15" s="83" t="str">
        <x:v>LangChain</x:v>
      </x:c>
      <x:c r="C15" s="84" t="n">
        <x:v>90.8</x:v>
      </x:c>
      <x:c r="D15" s="83" t="n">
        <x:v>5</x:v>
      </x:c>
      <x:c r="E15" s="83" t="str">
        <x:v>Flowise; CrewAI; LlamaIndex</x:v>
      </x:c>
      <x:c r="F15" s="83" t="str">
        <x:v>Framework and integrations for agent applications.</x:v>
      </x:c>
      <x:c r="G15" s="83" t="str">
        <x:v>Established choices</x:v>
      </x:c>
      <x:c r="H15" s="83" t="str">
        <x:v>https://github.com/langchain-ai/langchain</x:v>
      </x:c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15" hidden="0" customHeight="1">
      <x:c r="A16" s="83" t="str">
        <x:v>Analytics &amp; Experimentation</x:v>
      </x:c>
      <x:c r="B16" s="83" t="str">
        <x:v>Umami</x:v>
      </x:c>
      <x:c r="C16" s="84" t="n">
        <x:v>93.3</x:v>
      </x:c>
      <x:c r="D16" s="83" t="n">
        <x:v>6</x:v>
      </x:c>
      <x:c r="E16" s="83" t="str">
        <x:v>PostHog; Matomo; Plausible Analytics</x:v>
      </x:c>
      <x:c r="F16" s="83" t="str">
        <x:v>Simple privacy-focused web analytics.</x:v>
      </x:c>
      <x:c r="G16" s="83" t="str">
        <x:v>Established choices</x:v>
      </x:c>
      <x:c r="H16" s="83" t="str">
        <x:v>https://github.com/umami-software/umami</x:v>
      </x:c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15" hidden="0" customHeight="1">
      <x:c r="A17" s="83" t="str">
        <x:v>CRM &amp; Revenue Operations</x:v>
      </x:c>
      <x:c r="B17" s="83" t="str">
        <x:v>Twenty</x:v>
      </x:c>
      <x:c r="C17" s="84" t="n">
        <x:v>92.1</x:v>
      </x:c>
      <x:c r="D17" s="83" t="n">
        <x:v>6</x:v>
      </x:c>
      <x:c r="E17" s="83" t="str">
        <x:v>Krayin CRM; EspoCRM; Corteza</x:v>
      </x:c>
      <x:c r="F17" s="83" t="str">
        <x:v>Modern extensible CRM with self-hosting.</x:v>
      </x:c>
      <x:c r="G17" s="83" t="str">
        <x:v>Established choices</x:v>
      </x:c>
      <x:c r="H17" s="83" t="str">
        <x:v>https://github.com/twentyhq/twenty</x:v>
      </x:c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15" hidden="0" customHeight="1">
      <x:c r="A18" s="83" t="str">
        <x:v>Conversation Intelligence</x:v>
      </x:c>
      <x:c r="B18" s="83" t="str">
        <x:v>Meetily</x:v>
      </x:c>
      <x:c r="C18" s="84" t="n">
        <x:v>82.9</x:v>
      </x:c>
      <x:c r="D18" s="83" t="n">
        <x:v>2</x:v>
      </x:c>
      <x:c r="E18" s="83" t="str">
        <x:v>Vexa</x:v>
      </x:c>
      <x:c r="F18" s="83" t="str">
        <x:v>Local meeting transcription and summarisation.</x:v>
      </x:c>
      <x:c r="G18" s="83" t="str">
        <x:v>Developing</x:v>
      </x:c>
      <x:c r="H18" s="83" t="str">
        <x:v>https://github.com/Zackriya-Solutions/meetily</x:v>
      </x:c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15" hidden="0" customHeight="1">
      <x:c r="A19" s="83" t="str">
        <x:v>Creative &amp; Content</x:v>
      </x:c>
      <x:c r="B19" s="83" t="str">
        <x:v>Excalidraw</x:v>
      </x:c>
      <x:c r="C19" s="84" t="n">
        <x:v>92.9</x:v>
      </x:c>
      <x:c r="D19" s="83" t="n">
        <x:v>6</x:v>
      </x:c>
      <x:c r="E19" s="83" t="str">
        <x:v>ComfyUI; Penpot; Slidev</x:v>
      </x:c>
      <x:c r="F19" s="83" t="str">
        <x:v>Collaborative diagrams and visual thinking.</x:v>
      </x:c>
      <x:c r="G19" s="83" t="str">
        <x:v>Established choices</x:v>
      </x:c>
      <x:c r="H19" s="83" t="str">
        <x:v>https://github.com/excalidraw/excalidraw</x:v>
      </x:c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15" hidden="0" customHeight="1">
      <x:c r="A20" s="83" t="str">
        <x:v>Customer Data &amp; Activation</x:v>
      </x:c>
      <x:c r="B20" s="83" t="str">
        <x:v>Jitsu</x:v>
      </x:c>
      <x:c r="C20" s="84" t="n">
        <x:v>80.5</x:v>
      </x:c>
      <x:c r="D20" s="83" t="n">
        <x:v>3</x:v>
      </x:c>
      <x:c r="E20" s="83" t="str">
        <x:v>Snowplow; Meltano</x:v>
      </x:c>
      <x:c r="F20" s="83" t="str">
        <x:v>Event collection and data routing.</x:v>
      </x:c>
      <x:c r="G20" s="83" t="str">
        <x:v>Developing</x:v>
      </x:c>
      <x:c r="H20" s="83" t="str">
        <x:v>https://github.com/jitsucom/jitsu</x:v>
      </x:c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15" hidden="0" customHeight="1">
      <x:c r="A21" s="83" t="str">
        <x:v>Customer Support &amp; Success</x:v>
      </x:c>
      <x:c r="B21" s="83" t="str">
        <x:v>Chatwoot</x:v>
      </x:c>
      <x:c r="C21" s="84" t="n">
        <x:v>93.3</x:v>
      </x:c>
      <x:c r="D21" s="83" t="n">
        <x:v>3</x:v>
      </x:c>
      <x:c r="E21" s="83" t="str">
        <x:v>Zammad; FreeScout</x:v>
      </x:c>
      <x:c r="F21" s="83" t="str">
        <x:v>Omnichannel support inbox, chat and help centre.</x:v>
      </x:c>
      <x:c r="G21" s="83" t="str">
        <x:v>Developing</x:v>
      </x:c>
      <x:c r="H21" s="83" t="str">
        <x:v>https://github.com/chatwoot/chatwoot</x:v>
      </x:c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24" hidden="0" customHeight="1">
      <x:c r="A22" s="83" t="str">
        <x:v>Forms, Surveys &amp; Conversion</x:v>
      </x:c>
      <x:c r="B22" s="83" t="str">
        <x:v>Cal.com</x:v>
      </x:c>
      <x:c r="C22" s="84" t="n">
        <x:v>93.8</x:v>
      </x:c>
      <x:c r="D22" s="83" t="n">
        <x:v>4</x:v>
      </x:c>
      <x:c r="E22" s="83" t="str">
        <x:v>Formbricks; HeyForm; Easy!Appointments</x:v>
      </x:c>
      <x:c r="F22" s="83" t="str">
        <x:v>Scheduling platform with routing and integrations.</x:v>
      </x:c>
      <x:c r="G22" s="83" t="str">
        <x:v>Established choices</x:v>
      </x:c>
      <x:c r="H22" s="83" t="str">
        <x:v>https://github.com/calcom/cal.diy</x:v>
      </x:c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24" hidden="0" customHeight="1">
      <x:c r="A23" s="83" t="str">
        <x:v>Marketing Automation &amp; Email</x:v>
      </x:c>
      <x:c r="B23" s="83" t="str">
        <x:v>listmonk</x:v>
      </x:c>
      <x:c r="C23" s="84" t="n">
        <x:v>90.6</x:v>
      </x:c>
      <x:c r="D23" s="83" t="n">
        <x:v>5</x:v>
      </x:c>
      <x:c r="E23" s="83" t="str">
        <x:v>Mautic; Plunk; Keila</x:v>
      </x:c>
      <x:c r="F23" s="83" t="str">
        <x:v>High-performance newsletter and mailing-list manager.</x:v>
      </x:c>
      <x:c r="G23" s="83" t="str">
        <x:v>Established choices</x:v>
      </x:c>
      <x:c r="H23" s="83" t="str">
        <x:v>https://github.com/knadh/listmonk</x:v>
      </x:c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15" hidden="0" customHeight="1">
      <x:c r="A24" s="83" t="str">
        <x:v>Prospecting &amp; Web Data</x:v>
      </x:c>
      <x:c r="B24" s="83" t="str">
        <x:v>Crawl4AI</x:v>
      </x:c>
      <x:c r="C24" s="84" t="n">
        <x:v>91.7</x:v>
      </x:c>
      <x:c r="D24" s="83" t="n">
        <x:v>3</x:v>
      </x:c>
      <x:c r="E24" s="83" t="str">
        <x:v>Crawlee; SearXNG</x:v>
      </x:c>
      <x:c r="F24" s="83" t="str">
        <x:v>Crawler that produces AI-ready web content.</x:v>
      </x:c>
      <x:c r="G24" s="83" t="str">
        <x:v>Developing</x:v>
      </x:c>
      <x:c r="H24" s="83" t="str">
        <x:v>https://github.com/unclecode/crawl4ai</x:v>
      </x:c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15" hidden="0" customHeight="1">
      <x:c r="A25" s="83" t="str">
        <x:v>Website &amp; Content</x:v>
      </x:c>
      <x:c r="B25" s="83" t="str">
        <x:v>Strapi</x:v>
      </x:c>
      <x:c r="C25" s="84" t="n">
        <x:v>92.1</x:v>
      </x:c>
      <x:c r="D25" s="83" t="n">
        <x:v>3</x:v>
      </x:c>
      <x:c r="E25" s="83" t="str">
        <x:v>Payload; Webstudio</x:v>
      </x:c>
      <x:c r="F25" s="83" t="str">
        <x:v>Headless content management system.</x:v>
      </x:c>
      <x:c r="G25" s="83" t="str">
        <x:v>Developing</x:v>
      </x:c>
      <x:c r="H25" s="83" t="str">
        <x:v>https://github.com/strapi/strapi</x:v>
      </x:c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24" hidden="0" customHeight="1">
      <x:c r="A26" s="83" t="str">
        <x:v>Workflow Automation</x:v>
      </x:c>
      <x:c r="B26" s="83" t="str">
        <x:v>Activepieces</x:v>
      </x:c>
      <x:c r="C26" s="84" t="n">
        <x:v>89.4</x:v>
      </x:c>
      <x:c r="D26" s="83" t="n">
        <x:v>4</x:v>
      </x:c>
      <x:c r="E26" s="83" t="str">
        <x:v>Node-RED; Windmill; Automatisch</x:v>
      </x:c>
      <x:c r="F26" s="83" t="str">
        <x:v>Business automation with connectors and AI steps.</x:v>
      </x:c>
      <x:c r="G26" s="83" t="str">
        <x:v>Established choices</x:v>
      </x:c>
      <x:c r="H26" s="83" t="str">
        <x:v>https://github.com/activepieces/activepieces</x:v>
      </x:c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15" hidden="0" customHeight="1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15" hidden="0" customHeight="1">
      <x:c r="A28" s="76"/>
      <x:c r="B28" s="76"/>
      <x:c r="C28" s="76"/>
      <x:c r="D28" s="76"/>
      <x:c r="E28" s="76"/>
      <x:c r="F28" s="76"/>
      <x:c r="G28" s="76"/>
      <x:c r="H28" s="76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15" hidden="0" customHeight="1">
      <x:c r="A29" s="81" t="str">
        <x:v>Sample rankings table — real top 8 records</x:v>
      </x:c>
      <x:c r="B29" s="81" t="str">
        <x:v>Sample rankings table — real top 8 records</x:v>
      </x:c>
      <x:c r="C29" s="81" t="str">
        <x:v>Sample rankings table — real top 8 records</x:v>
      </x:c>
      <x:c r="D29" s="81" t="str">
        <x:v>Sample rankings table — real top 8 records</x:v>
      </x:c>
      <x:c r="E29" s="81" t="str">
        <x:v>Sample rankings table — real top 8 records</x:v>
      </x:c>
      <x:c r="F29" s="81" t="str">
        <x:v>Sample rankings table — real top 8 records</x:v>
      </x:c>
      <x:c r="G29" s="81" t="str">
        <x:v>Sample rankings table — real top 8 records</x:v>
      </x:c>
      <x:c r="H29" s="81" t="str">
        <x:v>Sample rankings table — real top 8 records</x:v>
      </x:c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15" hidden="0" customHeight="1">
      <x:c r="A30" s="82" t="str">
        <x:v>Rank</x:v>
      </x:c>
      <x:c r="B30" s="82" t="str">
        <x:v>Tool</x:v>
      </x:c>
      <x:c r="C30" s="82" t="str">
        <x:v>Category</x:v>
      </x:c>
      <x:c r="D30" s="82" t="str">
        <x:v>Score</x:v>
      </x:c>
      <x:c r="E30" s="82" t="str">
        <x:v>Stars</x:v>
      </x:c>
      <x:c r="F30" s="82" t="str">
        <x:v>Licence model</x:v>
      </x:c>
      <x:c r="G30" s="82" t="str">
        <x:v>Replaces</x:v>
      </x:c>
      <x:c r="H30" s="82" t="str">
        <x:v>Recommendation</x:v>
      </x:c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24" hidden="0" customHeight="1">
      <x:c r="A31" s="83" t="n">
        <x:v>1</x:v>
      </x:c>
      <x:c r="B31" s="83" t="str">
        <x:v>Cal.com</x:v>
      </x:c>
      <x:c r="C31" s="83" t="str">
        <x:v>Forms, Surveys &amp; Conversion</x:v>
      </x:c>
      <x:c r="D31" s="84" t="n">
        <x:v>93.8</x:v>
      </x:c>
      <x:c r="E31" s="85" t="n">
        <x:v>46636</x:v>
      </x:c>
      <x:c r="F31" s="83" t="str">
        <x:v>Permissive open source</x:v>
      </x:c>
      <x:c r="G31" s="83" t="str">
        <x:v>Calendly; Chili Piper</x:v>
      </x:c>
      <x:c r="H31" s="83" t="str">
        <x:v>Strong shortlist</x:v>
      </x:c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24" hidden="0" customHeight="1">
      <x:c r="A32" s="83" t="n">
        <x:v>2</x:v>
      </x:c>
      <x:c r="B32" s="83" t="str">
        <x:v>Chatwoot</x:v>
      </x:c>
      <x:c r="C32" s="83" t="str">
        <x:v>Customer Support &amp; Success</x:v>
      </x:c>
      <x:c r="D32" s="84" t="n">
        <x:v>93.3</x:v>
      </x:c>
      <x:c r="E32" s="85" t="n">
        <x:v>34579</x:v>
      </x:c>
      <x:c r="F32" s="83" t="str">
        <x:v>Open core (permissive)</x:v>
      </x:c>
      <x:c r="G32" s="83" t="str">
        <x:v>Intercom; Zendesk</x:v>
      </x:c>
      <x:c r="H32" s="83" t="str">
        <x:v>Strong shortlist</x:v>
      </x:c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24" hidden="0" customHeight="1">
      <x:c r="A33" s="83" t="n">
        <x:v>2</x:v>
      </x:c>
      <x:c r="B33" s="83" t="str">
        <x:v>Umami</x:v>
      </x:c>
      <x:c r="C33" s="83" t="str">
        <x:v>Analytics &amp; Experimentation</x:v>
      </x:c>
      <x:c r="D33" s="84" t="n">
        <x:v>93.3</x:v>
      </x:c>
      <x:c r="E33" s="85" t="n">
        <x:v>37768</x:v>
      </x:c>
      <x:c r="F33" s="83" t="str">
        <x:v>Permissive open source</x:v>
      </x:c>
      <x:c r="G33" s="83" t="str">
        <x:v>Google Analytics</x:v>
      </x:c>
      <x:c r="H33" s="83" t="str">
        <x:v>Strong shortlist</x:v>
      </x:c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83" t="n">
        <x:v>4</x:v>
      </x:c>
      <x:c r="B34" s="83" t="str">
        <x:v>Excalidraw</x:v>
      </x:c>
      <x:c r="C34" s="83" t="str">
        <x:v>Creative &amp; Content</x:v>
      </x:c>
      <x:c r="D34" s="84" t="n">
        <x:v>92.9</x:v>
      </x:c>
      <x:c r="E34" s="85" t="n">
        <x:v>127938</x:v>
      </x:c>
      <x:c r="F34" s="83" t="str">
        <x:v>Permissive open source</x:v>
      </x:c>
      <x:c r="G34" s="83" t="str">
        <x:v>Miro; FigJam</x:v>
      </x:c>
      <x:c r="H34" s="83" t="str">
        <x:v>Strong shortlist</x:v>
      </x:c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83" t="n">
        <x:v>5</x:v>
      </x:c>
      <x:c r="B35" s="83" t="str">
        <x:v>Strapi</x:v>
      </x:c>
      <x:c r="C35" s="83" t="str">
        <x:v>Website &amp; Content</x:v>
      </x:c>
      <x:c r="D35" s="84" t="n">
        <x:v>92.1</x:v>
      </x:c>
      <x:c r="E35" s="85" t="n">
        <x:v>72689</x:v>
      </x:c>
      <x:c r="F35" s="83" t="str">
        <x:v>Open core (permissive)</x:v>
      </x:c>
      <x:c r="G35" s="83" t="str">
        <x:v>Contentful; Sanity</x:v>
      </x:c>
      <x:c r="H35" s="83" t="str">
        <x:v>Strong shortlist</x:v>
      </x:c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24" hidden="0" customHeight="1">
      <x:c r="A36" s="83" t="n">
        <x:v>5</x:v>
      </x:c>
      <x:c r="B36" s="83" t="str">
        <x:v>Twenty</x:v>
      </x:c>
      <x:c r="C36" s="83" t="str">
        <x:v>CRM &amp; Revenue Operations</x:v>
      </x:c>
      <x:c r="D36" s="84" t="n">
        <x:v>92.1</x:v>
      </x:c>
      <x:c r="E36" s="85" t="n">
        <x:v>53330</x:v>
      </x:c>
      <x:c r="F36" s="83" t="str">
        <x:v>Open core (copyleft)</x:v>
      </x:c>
      <x:c r="G36" s="83" t="str">
        <x:v>Salesforce; HubSpot; Attio</x:v>
      </x:c>
      <x:c r="H36" s="83" t="str">
        <x:v>Strong shortlist</x:v>
      </x:c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83" t="n">
        <x:v>7</x:v>
      </x:c>
      <x:c r="B37" s="83" t="str">
        <x:v>Crawl4AI</x:v>
      </x:c>
      <x:c r="C37" s="83" t="str">
        <x:v>Prospecting &amp; Web Data</x:v>
      </x:c>
      <x:c r="D37" s="84" t="n">
        <x:v>91.7</x:v>
      </x:c>
      <x:c r="E37" s="85" t="n">
        <x:v>73401</x:v>
      </x:c>
      <x:c r="F37" s="83" t="str">
        <x:v>Permissive open source</x:v>
      </x:c>
      <x:c r="G37" s="83" t="str">
        <x:v>Firecrawl</x:v>
      </x:c>
      <x:c r="H37" s="83" t="str">
        <x:v>Strong shortlist</x:v>
      </x:c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24" hidden="0" customHeight="1">
      <x:c r="A38" s="83" t="n">
        <x:v>8</x:v>
      </x:c>
      <x:c r="B38" s="83" t="str">
        <x:v>LangChain</x:v>
      </x:c>
      <x:c r="C38" s="83" t="str">
        <x:v>Agent &amp; GTM Developer Tools</x:v>
      </x:c>
      <x:c r="D38" s="84" t="n">
        <x:v>90.8</x:v>
      </x:c>
      <x:c r="E38" s="85" t="n">
        <x:v>142171</x:v>
      </x:c>
      <x:c r="F38" s="83" t="str">
        <x:v>Permissive open source</x:v>
      </x:c>
      <x:c r="G38" s="83" t="str">
        <x:v>Proprietary agent SDKs</x:v>
      </x:c>
      <x:c r="H38" s="83" t="str">
        <x:v>Strong shortlist</x:v>
      </x:c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15" hidden="0" customHeight="1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15" hidden="0" customHeight="1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81" t="str">
        <x:v>Methodology copy for the concept screens</x:v>
      </x:c>
      <x:c r="B41" s="81" t="str">
        <x:v>Methodology copy for the concept screens</x:v>
      </x:c>
      <x:c r="C41" s="81" t="str">
        <x:v>Methodology copy for the concept screens</x:v>
      </x:c>
      <x:c r="D41" s="81" t="str">
        <x:v>Methodology copy for the concept screens</x:v>
      </x:c>
      <x:c r="E41" s="81" t="str">
        <x:v>Methodology copy for the concept screens</x:v>
      </x:c>
      <x:c r="F41" s="81" t="str">
        <x:v>Methodology copy for the concept screens</x:v>
      </x:c>
      <x:c r="G41" s="81" t="str">
        <x:v>Methodology copy for the concept screens</x:v>
      </x:c>
      <x:c r="H41" s="81" t="str">
        <x:v>Methodology copy for the concept screens</x:v>
      </x:c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82" t="str">
        <x:v>Heading</x:v>
      </x:c>
      <x:c r="B42" s="82" t="str">
        <x:v>Body</x:v>
      </x:c>
      <x:c r="C42" s="82" t="str">
        <x:v>Metric 1</x:v>
      </x:c>
      <x:c r="D42" s="82" t="str">
        <x:v>Metric 2</x:v>
      </x:c>
      <x:c r="E42" s="82" t="str">
        <x:v>Metric 3</x:v>
      </x:c>
      <x:c r="F42" s="82" t="str">
        <x:v>Metric 4</x:v>
      </x:c>
      <x:c r="G42" s="82" t="str">
        <x:v>Warning</x:v>
      </x:c>
      <x:c r="H42" s="82" t="str">
        <x:v>Action</x:v>
      </x:c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36" hidden="0" customHeight="1">
      <x:c r="A43" s="83" t="str">
        <x:v>How the Open GTM Score works</x:v>
      </x:c>
      <x:c r="B43" s="83" t="str">
        <x:v>The score combines public GitHub adoption and activity with visible reviews of deployment readiness, go-to-market fit and licence openness.</x:v>
      </x:c>
      <x:c r="C43" s="83" t="str">
        <x:v>Adoption · 25</x:v>
      </x:c>
      <x:c r="D43" s="83" t="str">
        <x:v>Community · 15</x:v>
      </x:c>
      <x:c r="E43" s="83" t="str">
        <x:v>Recent activity · 20</x:v>
      </x:c>
      <x:c r="F43" s="83" t="str">
        <x:v>Deployment · 15</x:v>
      </x:c>
      <x:c r="G43" s="83" t="str">
        <x:v>Stars measure attention, not market share.</x:v>
      </x:c>
      <x:c r="H43" s="83" t="str">
        <x:v>See every formula</x:v>
      </x:c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36" hidden="0" customHeight="1">
      <x:c r="A44" s="83" t="str">
        <x:v>Open-source gate</x:v>
      </x:c>
      <x:c r="B44" s="83" t="str">
        <x:v>Only projects with a verified open-source core licence receive a rank. Restricted and unlicensed projects remain visible as a watchlist.</x:v>
      </x:c>
      <x:c r="C44" s="83" t="str">
        <x:v>GTM fit · 15</x:v>
      </x:c>
      <x:c r="D44" s="83" t="str">
        <x:v>Licence · 10</x:v>
      </x:c>
      <x:c r="E44" s="83" t="str">
        <x:v>Total · 100</x:v>
      </x:c>
      <x:c r="F44" s="83" t="str">
        <x:v>Updated nightly</x:v>
      </x:c>
      <x:c r="G44" s="83" t="str">
        <x:v>Read custom licence files before deployment.</x:v>
      </x:c>
      <x:c r="H44" s="83" t="str">
        <x:v>View the watchlist</x:v>
      </x:c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24" hidden="0" customHeight="1">
      <x:c r="A45" s="83" t="str">
        <x:v>Evidence first</x:v>
      </x:c>
      <x:c r="B45" s="83" t="str">
        <x:v>Every record links to its repository, homepage, checked date and licence model.</x:v>
      </x:c>
      <x:c r="C45" s="83" t="str">
        <x:v>Public sources</x:v>
      </x:c>
      <x:c r="D45" s="83" t="str">
        <x:v>Visible inputs</x:v>
      </x:c>
      <x:c r="E45" s="83" t="str">
        <x:v>Versioned method</x:v>
      </x:c>
      <x:c r="F45" s="83" t="str">
        <x:v>Correction history</x:v>
      </x:c>
      <x:c r="G45" s="83" t="str">
        <x:v>Editorial ratings still involve judgement.</x:v>
      </x:c>
      <x:c r="H45" s="83" t="str">
        <x:v>Suggest a correction</x:v>
      </x:c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24" hidden="0" customHeight="1">
      <x:c r="A46" s="83" t="str">
        <x:v>Submission</x:v>
      </x:c>
      <x:c r="B46" s="83" t="str">
        <x:v>Submit a repository with its licence, category and evidence. Reviews and changes remain public.</x:v>
      </x:c>
      <x:c r="C46" s="83" t="str">
        <x:v>Repository URL</x:v>
      </x:c>
      <x:c r="D46" s="83" t="str">
        <x:v>Licence URL</x:v>
      </x:c>
      <x:c r="E46" s="83" t="str">
        <x:v>Feature evidence</x:v>
      </x:c>
      <x:c r="F46" s="83" t="str">
        <x:v>Maintainer contact</x:v>
      </x:c>
      <x:c r="G46" s="83" t="str">
        <x:v>Unsupported claims are rejected.</x:v>
      </x:c>
      <x:c r="H46" s="83" t="str">
        <x:v>Add a project</x:v>
      </x:c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24" hidden="0" customHeight="1">
      <x:c r="A47" s="83" t="str">
        <x:v>Footer</x:v>
      </x:c>
      <x:c r="B47" s="83" t="str">
        <x:v>Open GTM Index · Open data for practical software decisions</x:v>
      </x:c>
      <x:c r="C47" s="83" t="str">
        <x:v>GitHub</x:v>
      </x:c>
      <x:c r="D47" s="83" t="str">
        <x:v>Dataset</x:v>
      </x:c>
      <x:c r="E47" s="83" t="str">
        <x:v>Methodology</x:v>
      </x:c>
      <x:c r="F47" s="83" t="str">
        <x:v>Contribute</x:v>
      </x:c>
      <x:c r="G47" s="83" t="str">
        <x:v>Checked 20 July 2026</x:v>
      </x:c>
      <x:c r="H47" s="83" t="str">
        <x:v>Download CSV</x:v>
      </x:c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H1"/>
    <x:mergeCell ref="A3:H3"/>
    <x:mergeCell ref="A12:H12"/>
    <x:mergeCell ref="A29:H29"/>
    <x:mergeCell ref="A41:H4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56" hidden="0" customWidth="1"/>
    <x:col min="4" max="4" width="52" hidden="0" customWidth="1"/>
    <x:col min="5" max="5" width="13" hidden="0" customWidth="1"/>
  </x:cols>
  <x:sheetData>
    <x:row r="1" ht="36" hidden="0" customHeight="1">
      <x:c r="A1" s="73" t="str">
        <x:v>Sources and evidence register</x:v>
      </x:c>
      <x:c r="B1" s="73" t="str">
        <x:v>Sources and evidence register</x:v>
      </x:c>
      <x:c r="C1" s="73" t="str">
        <x:v>Sources and evidence register</x:v>
      </x:c>
      <x:c r="D1" s="73" t="str">
        <x:v>Sources and evidence register</x:v>
      </x:c>
      <x:c r="E1" s="73" t="str">
        <x:v>Sources and evidence register</x:v>
      </x:c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 ht="15" hidden="0" customHeight="1">
      <x:c r="A2" s="99" t="str">
        <x:v>Type</x:v>
      </x:c>
      <x:c r="B2" s="99" t="str">
        <x:v>Name</x:v>
      </x:c>
      <x:c r="C2" s="99" t="str">
        <x:v>URL</x:v>
      </x:c>
      <x:c r="D2" s="99" t="str">
        <x:v>Used for</x:v>
      </x:c>
      <x:c r="E2" s="99" t="str">
        <x:v>Checked</x:v>
      </x:c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6"/>
      <x:c r="X2" s="76"/>
      <x:c r="Y2" s="76"/>
      <x:c r="Z2" s="76"/>
    </x:row>
    <x:row r="3" ht="24" hidden="0" customHeight="1">
      <x:c r="A3" s="83" t="str">
        <x:v>Reference site</x:v>
      </x:c>
      <x:c r="B3" s="83" t="str">
        <x:v>Adam's GTM Report rankings</x:v>
      </x:c>
      <x:c r="C3" s="83" t="str">
        <x:v>https://adamgtm.com/rankings/</x:v>
      </x:c>
      <x:c r="D3" s="83" t="str">
        <x:v>Reference information architecture, category cards, table controls and published methodology</x:v>
      </x:c>
      <x:c r="E3" s="94" t="n">
        <x:v>46223</x:v>
      </x:c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  <x:c r="Y3" s="76"/>
      <x:c r="Z3" s="76"/>
    </x:row>
    <x:row r="4" ht="15" hidden="0" customHeight="1">
      <x:c r="A4" s="83" t="str">
        <x:v>Comparable directory</x:v>
      </x:c>
      <x:c r="B4" s="83" t="str">
        <x:v>Open Source Alternatives</x:v>
      </x:c>
      <x:c r="C4" s="83" t="str">
        <x:v>https://www.opensourcealternatives.to/</x:v>
      </x:c>
      <x:c r="D4" s="83" t="str">
        <x:v>Comparable open-source replacement directory</x:v>
      </x:c>
      <x:c r="E4" s="94" t="n">
        <x:v>46223</x:v>
      </x:c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  <x:c r="Y4" s="76"/>
      <x:c r="Z4" s="76"/>
    </x:row>
    <x:row r="5" ht="15" hidden="0" customHeight="1">
      <x:c r="A5" s="83" t="str">
        <x:v>Comparable directory</x:v>
      </x:c>
      <x:c r="B5" s="83" t="str">
        <x:v>Selfhost</x:v>
      </x:c>
      <x:c r="C5" s="83" t="str">
        <x:v>https://selfhosttools.com/</x:v>
      </x:c>
      <x:c r="D5" s="83" t="str">
        <x:v>Comparable self-hosted software directory</x:v>
      </x:c>
      <x:c r="E5" s="94" t="n">
        <x:v>46223</x:v>
      </x:c>
      <x:c r="F5" s="76"/>
      <x:c r="G5" s="76"/>
      <x:c r="H5" s="76"/>
      <x:c r="I5" s="76"/>
      <x:c r="J5" s="76"/>
      <x:c r="K5" s="76"/>
      <x:c r="L5" s="76"/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6"/>
      <x:c r="X5" s="76"/>
      <x:c r="Y5" s="76"/>
      <x:c r="Z5" s="76"/>
    </x:row>
    <x:row r="6" ht="15" hidden="0" customHeight="1">
      <x:c r="A6" s="83" t="str">
        <x:v>Comparable directory</x:v>
      </x:c>
      <x:c r="B6" s="83" t="str">
        <x:v>OSSBase</x:v>
      </x:c>
      <x:c r="C6" s="83" t="str">
        <x:v>https://www.ossbase.co/</x:v>
      </x:c>
      <x:c r="D6" s="83" t="str">
        <x:v>Comparable project comparison and GitHub-data presentation</x:v>
      </x:c>
      <x:c r="E6" s="94" t="n">
        <x:v>46223</x:v>
      </x:c>
      <x:c r="F6" s="76"/>
      <x:c r="G6" s="76"/>
      <x:c r="H6" s="76"/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6"/>
      <x:c r="X6" s="76"/>
      <x:c r="Y6" s="76"/>
      <x:c r="Z6" s="76"/>
    </x:row>
    <x:row r="7" ht="24" hidden="0" customHeight="1">
      <x:c r="A7" s="83" t="str">
        <x:v>Comparable directory</x:v>
      </x:c>
      <x:c r="B7" s="83" t="str">
        <x:v>OSSFind</x:v>
      </x:c>
      <x:c r="C7" s="83" t="str">
        <x:v>https://ossfind.com/</x:v>
      </x:c>
      <x:c r="D7" s="83" t="str">
        <x:v>Comparable scoring approach using adoption, maintenance and commercial-use risk</x:v>
      </x:c>
      <x:c r="E7" s="94" t="n">
        <x:v>46223</x:v>
      </x:c>
      <x:c r="F7" s="76"/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6"/>
      <x:c r="X7" s="76"/>
      <x:c r="Y7" s="76"/>
      <x:c r="Z7" s="76"/>
    </x:row>
    <x:row r="8" ht="15" hidden="0" customHeight="1">
      <x:c r="A8" s="83" t="str">
        <x:v>Dataset</x:v>
      </x:c>
      <x:c r="B8" s="83" t="str">
        <x:v>awesome-selfhosted</x:v>
      </x:c>
      <x:c r="C8" s="83" t="str">
        <x:v>https://github.com/awesome-selfhosted/awesome-selfhosted</x:v>
      </x:c>
      <x:c r="D8" s="83" t="str">
        <x:v>Broad discovery source and category cross-check</x:v>
      </x:c>
      <x:c r="E8" s="94" t="n">
        <x:v>46223</x:v>
      </x:c>
      <x:c r="F8" s="76"/>
      <x:c r="G8" s="76"/>
      <x:c r="H8" s="76"/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  <x:c r="X8" s="76"/>
      <x:c r="Y8" s="76"/>
      <x:c r="Z8" s="76"/>
    </x:row>
    <x:row r="9" ht="15" hidden="0" customHeight="1">
      <x:c r="A9" s="83" t="str">
        <x:v>Project repository</x:v>
      </x:c>
      <x:c r="B9" s="83" t="str">
        <x:v>Cal.com</x:v>
      </x:c>
      <x:c r="C9" s="83" t="str">
        <x:v>https://github.com/calcom/cal.diy</x:v>
      </x:c>
      <x:c r="D9" s="83" t="str">
        <x:v>Repository metadata, licence, description, activity and popularity</x:v>
      </x:c>
      <x:c r="E9" s="94" t="n">
        <x:v>46223</x:v>
      </x:c>
      <x:c r="F9" s="76"/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  <x:c r="X9" s="76"/>
      <x:c r="Y9" s="76"/>
      <x:c r="Z9" s="76"/>
    </x:row>
    <x:row r="10" ht="15" hidden="0" customHeight="1">
      <x:c r="A10" s="83" t="str">
        <x:v>Project repository</x:v>
      </x:c>
      <x:c r="B10" s="83" t="str">
        <x:v>Chatwoot</x:v>
      </x:c>
      <x:c r="C10" s="83" t="str">
        <x:v>https://github.com/chatwoot/chatwoot</x:v>
      </x:c>
      <x:c r="D10" s="83" t="str">
        <x:v>Repository metadata, licence, description, activity and popularity</x:v>
      </x:c>
      <x:c r="E10" s="94" t="n">
        <x:v>46223</x:v>
      </x:c>
      <x:c r="F10" s="76"/>
      <x:c r="G10" s="76"/>
      <x:c r="H10" s="76"/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  <x:c r="X10" s="76"/>
      <x:c r="Y10" s="76"/>
      <x:c r="Z10" s="76"/>
    </x:row>
    <x:row r="11" ht="15" hidden="0" customHeight="1">
      <x:c r="A11" s="83" t="str">
        <x:v>Project repository</x:v>
      </x:c>
      <x:c r="B11" s="83" t="str">
        <x:v>Umami</x:v>
      </x:c>
      <x:c r="C11" s="83" t="str">
        <x:v>https://github.com/umami-software/umami</x:v>
      </x:c>
      <x:c r="D11" s="83" t="str">
        <x:v>Repository metadata, licence, description, activity and popularity</x:v>
      </x:c>
      <x:c r="E11" s="94" t="n">
        <x:v>46223</x:v>
      </x:c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  <x:c r="X11" s="76"/>
      <x:c r="Y11" s="76"/>
      <x:c r="Z11" s="76"/>
    </x:row>
    <x:row r="12" ht="15" hidden="0" customHeight="1">
      <x:c r="A12" s="83" t="str">
        <x:v>Project repository</x:v>
      </x:c>
      <x:c r="B12" s="83" t="str">
        <x:v>Excalidraw</x:v>
      </x:c>
      <x:c r="C12" s="83" t="str">
        <x:v>https://github.com/excalidraw/excalidraw</x:v>
      </x:c>
      <x:c r="D12" s="83" t="str">
        <x:v>Repository metadata, licence, description, activity and popularity</x:v>
      </x:c>
      <x:c r="E12" s="94" t="n">
        <x:v>46223</x:v>
      </x:c>
      <x:c r="F12" s="76"/>
      <x:c r="G12" s="76"/>
      <x:c r="H12" s="76"/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  <x:c r="X12" s="76"/>
      <x:c r="Y12" s="76"/>
      <x:c r="Z12" s="76"/>
    </x:row>
    <x:row r="13" ht="15" hidden="0" customHeight="1">
      <x:c r="A13" s="83" t="str">
        <x:v>Project repository</x:v>
      </x:c>
      <x:c r="B13" s="83" t="str">
        <x:v>Strapi</x:v>
      </x:c>
      <x:c r="C13" s="83" t="str">
        <x:v>https://github.com/strapi/strapi</x:v>
      </x:c>
      <x:c r="D13" s="83" t="str">
        <x:v>Repository metadata, licence, description, activity and popularity</x:v>
      </x:c>
      <x:c r="E13" s="94" t="n">
        <x:v>46223</x:v>
      </x:c>
      <x:c r="F13" s="76"/>
      <x:c r="G13" s="76"/>
      <x:c r="H13" s="76"/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  <x:c r="X13" s="76"/>
      <x:c r="Y13" s="76"/>
      <x:c r="Z13" s="76"/>
    </x:row>
    <x:row r="14" ht="15" hidden="0" customHeight="1">
      <x:c r="A14" s="83" t="str">
        <x:v>Project repository</x:v>
      </x:c>
      <x:c r="B14" s="83" t="str">
        <x:v>Twenty</x:v>
      </x:c>
      <x:c r="C14" s="83" t="str">
        <x:v>https://github.com/twentyhq/twenty</x:v>
      </x:c>
      <x:c r="D14" s="83" t="str">
        <x:v>Repository metadata, licence, description, activity and popularity</x:v>
      </x:c>
      <x:c r="E14" s="94" t="n">
        <x:v>46223</x:v>
      </x:c>
      <x:c r="F14" s="76"/>
      <x:c r="G14" s="76"/>
      <x:c r="H14" s="76"/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  <x:c r="X14" s="76"/>
      <x:c r="Y14" s="76"/>
      <x:c r="Z14" s="76"/>
    </x:row>
    <x:row r="15" ht="15" hidden="0" customHeight="1">
      <x:c r="A15" s="83" t="str">
        <x:v>Project repository</x:v>
      </x:c>
      <x:c r="B15" s="83" t="str">
        <x:v>Crawl4AI</x:v>
      </x:c>
      <x:c r="C15" s="83" t="str">
        <x:v>https://github.com/unclecode/crawl4ai</x:v>
      </x:c>
      <x:c r="D15" s="83" t="str">
        <x:v>Repository metadata, licence, description, activity and popularity</x:v>
      </x:c>
      <x:c r="E15" s="94" t="n">
        <x:v>46223</x:v>
      </x:c>
      <x:c r="F15" s="76"/>
      <x:c r="G15" s="76"/>
      <x:c r="H15" s="76"/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  <x:c r="X15" s="76"/>
      <x:c r="Y15" s="76"/>
      <x:c r="Z15" s="76"/>
    </x:row>
    <x:row r="16" ht="15" hidden="0" customHeight="1">
      <x:c r="A16" s="83" t="str">
        <x:v>Project repository</x:v>
      </x:c>
      <x:c r="B16" s="83" t="str">
        <x:v>LangChain</x:v>
      </x:c>
      <x:c r="C16" s="83" t="str">
        <x:v>https://github.com/langchain-ai/langchain</x:v>
      </x:c>
      <x:c r="D16" s="83" t="str">
        <x:v>Repository metadata, licence, description, activity and popularity</x:v>
      </x:c>
      <x:c r="E16" s="94" t="n">
        <x:v>46223</x:v>
      </x:c>
      <x:c r="F16" s="76"/>
      <x:c r="G16" s="76"/>
      <x:c r="H16" s="76"/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  <x:c r="X16" s="76"/>
      <x:c r="Y16" s="76"/>
      <x:c r="Z16" s="76"/>
    </x:row>
    <x:row r="17" ht="15" hidden="0" customHeight="1">
      <x:c r="A17" s="83" t="str">
        <x:v>Project repository</x:v>
      </x:c>
      <x:c r="B17" s="83" t="str">
        <x:v>Payload</x:v>
      </x:c>
      <x:c r="C17" s="83" t="str">
        <x:v>https://github.com/payloadcms/payload</x:v>
      </x:c>
      <x:c r="D17" s="83" t="str">
        <x:v>Repository metadata, licence, description, activity and popularity</x:v>
      </x:c>
      <x:c r="E17" s="94" t="n">
        <x:v>46223</x:v>
      </x:c>
      <x:c r="F17" s="76"/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  <x:c r="X17" s="76"/>
      <x:c r="Y17" s="76"/>
      <x:c r="Z17" s="76"/>
    </x:row>
    <x:row r="18" ht="15" hidden="0" customHeight="1">
      <x:c r="A18" s="83" t="str">
        <x:v>Project repository</x:v>
      </x:c>
      <x:c r="B18" s="83" t="str">
        <x:v>listmonk</x:v>
      </x:c>
      <x:c r="C18" s="83" t="str">
        <x:v>https://github.com/knadh/listmonk</x:v>
      </x:c>
      <x:c r="D18" s="83" t="str">
        <x:v>Repository metadata, licence, description, activity and popularity</x:v>
      </x:c>
      <x:c r="E18" s="94" t="n">
        <x:v>46223</x:v>
      </x:c>
      <x:c r="F18" s="76"/>
      <x:c r="G18" s="76"/>
      <x:c r="H18" s="76"/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  <x:c r="X18" s="76"/>
      <x:c r="Y18" s="76"/>
      <x:c r="Z18" s="76"/>
    </x:row>
    <x:row r="19" ht="15" hidden="0" customHeight="1">
      <x:c r="A19" s="83" t="str">
        <x:v>Project repository</x:v>
      </x:c>
      <x:c r="B19" s="83" t="str">
        <x:v>PostHog</x:v>
      </x:c>
      <x:c r="C19" s="83" t="str">
        <x:v>https://github.com/PostHog/posthog</x:v>
      </x:c>
      <x:c r="D19" s="83" t="str">
        <x:v>Repository metadata, licence, description, activity and popularity</x:v>
      </x:c>
      <x:c r="E19" s="94" t="n">
        <x:v>46223</x:v>
      </x:c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  <x:c r="X19" s="76"/>
      <x:c r="Y19" s="76"/>
      <x:c r="Z19" s="76"/>
    </x:row>
    <x:row r="20" ht="15" hidden="0" customHeight="1">
      <x:c r="A20" s="83" t="str">
        <x:v>Project repository</x:v>
      </x:c>
      <x:c r="B20" s="83" t="str">
        <x:v>Flowise</x:v>
      </x:c>
      <x:c r="C20" s="83" t="str">
        <x:v>https://github.com/FlowiseAI/Flowise</x:v>
      </x:c>
      <x:c r="D20" s="83" t="str">
        <x:v>Repository metadata, licence, description, activity and popularity</x:v>
      </x:c>
      <x:c r="E20" s="94" t="n">
        <x:v>46223</x:v>
      </x:c>
      <x:c r="F20" s="76"/>
      <x:c r="G20" s="76"/>
      <x:c r="H20" s="76"/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  <x:c r="X20" s="76"/>
      <x:c r="Y20" s="76"/>
      <x:c r="Z20" s="76"/>
    </x:row>
    <x:row r="21" ht="15" hidden="0" customHeight="1">
      <x:c r="A21" s="83" t="str">
        <x:v>Project repository</x:v>
      </x:c>
      <x:c r="B21" s="83" t="str">
        <x:v>ComfyUI</x:v>
      </x:c>
      <x:c r="C21" s="83" t="str">
        <x:v>https://github.com/Comfy-Org/ComfyUI</x:v>
      </x:c>
      <x:c r="D21" s="83" t="str">
        <x:v>Repository metadata, licence, description, activity and popularity</x:v>
      </x:c>
      <x:c r="E21" s="94" t="n">
        <x:v>46223</x:v>
      </x:c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  <x:c r="X21" s="76"/>
      <x:c r="Y21" s="76"/>
      <x:c r="Z21" s="76"/>
    </x:row>
    <x:row r="22" ht="15" hidden="0" customHeight="1">
      <x:c r="A22" s="83" t="str">
        <x:v>Project repository</x:v>
      </x:c>
      <x:c r="B22" s="83" t="str">
        <x:v>Matomo</x:v>
      </x:c>
      <x:c r="C22" s="83" t="str">
        <x:v>https://github.com/matomo-org/matomo</x:v>
      </x:c>
      <x:c r="D22" s="83" t="str">
        <x:v>Repository metadata, licence, description, activity and popularity</x:v>
      </x:c>
      <x:c r="E22" s="94" t="n">
        <x:v>46223</x:v>
      </x:c>
      <x:c r="F22" s="76"/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  <x:c r="X22" s="76"/>
      <x:c r="Y22" s="76"/>
      <x:c r="Z22" s="76"/>
    </x:row>
    <x:row r="23" ht="15" hidden="0" customHeight="1">
      <x:c r="A23" s="83" t="str">
        <x:v>Project repository</x:v>
      </x:c>
      <x:c r="B23" s="83" t="str">
        <x:v>Activepieces</x:v>
      </x:c>
      <x:c r="C23" s="83" t="str">
        <x:v>https://github.com/activepieces/activepieces</x:v>
      </x:c>
      <x:c r="D23" s="83" t="str">
        <x:v>Repository metadata, licence, description, activity and popularity</x:v>
      </x:c>
      <x:c r="E23" s="94" t="n">
        <x:v>46223</x:v>
      </x:c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  <x:c r="X23" s="76"/>
      <x:c r="Y23" s="76"/>
      <x:c r="Z23" s="76"/>
    </x:row>
    <x:row r="24" ht="15" hidden="0" customHeight="1">
      <x:c r="A24" s="83" t="str">
        <x:v>Project repository</x:v>
      </x:c>
      <x:c r="B24" s="83" t="str">
        <x:v>Penpot</x:v>
      </x:c>
      <x:c r="C24" s="83" t="str">
        <x:v>https://github.com/penpot/penpot</x:v>
      </x:c>
      <x:c r="D24" s="83" t="str">
        <x:v>Repository metadata, licence, description, activity and popularity</x:v>
      </x:c>
      <x:c r="E24" s="94" t="n">
        <x:v>46223</x:v>
      </x:c>
      <x:c r="F24" s="76"/>
      <x:c r="G24" s="76"/>
      <x:c r="H24" s="76"/>
      <x:c r="I24" s="76"/>
      <x:c r="J24" s="76"/>
      <x:c r="K24" s="76"/>
      <x:c r="L24" s="76"/>
      <x:c r="M24" s="76"/>
      <x:c r="N24" s="76"/>
      <x:c r="O24" s="76"/>
      <x:c r="P24" s="76"/>
      <x:c r="Q24" s="76"/>
      <x:c r="R24" s="76"/>
      <x:c r="S24" s="76"/>
      <x:c r="T24" s="76"/>
      <x:c r="U24" s="76"/>
      <x:c r="V24" s="76"/>
      <x:c r="W24" s="76"/>
      <x:c r="X24" s="76"/>
      <x:c r="Y24" s="76"/>
      <x:c r="Z24" s="76"/>
    </x:row>
    <x:row r="25" ht="15" hidden="0" customHeight="1">
      <x:c r="A25" s="83" t="str">
        <x:v>Project repository</x:v>
      </x:c>
      <x:c r="B25" s="83" t="str">
        <x:v>Plausible Analytics</x:v>
      </x:c>
      <x:c r="C25" s="83" t="str">
        <x:v>https://github.com/plausible/analytics</x:v>
      </x:c>
      <x:c r="D25" s="83" t="str">
        <x:v>Repository metadata, licence, description, activity and popularity</x:v>
      </x:c>
      <x:c r="E25" s="94" t="n">
        <x:v>46223</x:v>
      </x:c>
      <x:c r="F25" s="76"/>
      <x:c r="G25" s="76"/>
      <x:c r="H25" s="76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6"/>
    </x:row>
    <x:row r="26" ht="15" hidden="0" customHeight="1">
      <x:c r="A26" s="83" t="str">
        <x:v>Project repository</x:v>
      </x:c>
      <x:c r="B26" s="83" t="str">
        <x:v>Mautic</x:v>
      </x:c>
      <x:c r="C26" s="83" t="str">
        <x:v>https://github.com/mautic/mautic</x:v>
      </x:c>
      <x:c r="D26" s="83" t="str">
        <x:v>Repository metadata, licence, description, activity and popularity</x:v>
      </x:c>
      <x:c r="E26" s="94" t="n">
        <x:v>46223</x:v>
      </x:c>
      <x:c r="F26" s="76"/>
      <x:c r="G26" s="76"/>
      <x:c r="H26" s="76"/>
      <x:c r="I26" s="76"/>
      <x:c r="J26" s="76"/>
      <x:c r="K26" s="76"/>
      <x:c r="L26" s="76"/>
      <x:c r="M26" s="76"/>
      <x:c r="N26" s="76"/>
      <x:c r="O26" s="76"/>
      <x:c r="P26" s="76"/>
      <x:c r="Q26" s="76"/>
      <x:c r="R26" s="76"/>
      <x:c r="S26" s="76"/>
      <x:c r="T26" s="76"/>
      <x:c r="U26" s="76"/>
      <x:c r="V26" s="76"/>
      <x:c r="W26" s="76"/>
      <x:c r="X26" s="76"/>
      <x:c r="Y26" s="76"/>
      <x:c r="Z26" s="76"/>
    </x:row>
    <x:row r="27" ht="15" hidden="0" customHeight="1">
      <x:c r="A27" s="83" t="str">
        <x:v>Project repository</x:v>
      </x:c>
      <x:c r="B27" s="83" t="str">
        <x:v>Node-RED</x:v>
      </x:c>
      <x:c r="C27" s="83" t="str">
        <x:v>https://github.com/node-red/node-red</x:v>
      </x:c>
      <x:c r="D27" s="83" t="str">
        <x:v>Repository metadata, licence, description, activity and popularity</x:v>
      </x:c>
      <x:c r="E27" s="94" t="n">
        <x:v>46223</x:v>
      </x:c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6"/>
      <x:c r="X27" s="76"/>
      <x:c r="Y27" s="76"/>
      <x:c r="Z27" s="76"/>
    </x:row>
    <x:row r="28" ht="15" hidden="0" customHeight="1">
      <x:c r="A28" s="83" t="str">
        <x:v>Project repository</x:v>
      </x:c>
      <x:c r="B28" s="83" t="str">
        <x:v>Krayin CRM</x:v>
      </x:c>
      <x:c r="C28" s="83" t="str">
        <x:v>https://github.com/krayin/laravel-crm</x:v>
      </x:c>
      <x:c r="D28" s="83" t="str">
        <x:v>Repository metadata, licence, description, activity and popularity</x:v>
      </x:c>
      <x:c r="E28" s="94" t="n">
        <x:v>46223</x:v>
      </x:c>
      <x:c r="F28" s="76"/>
      <x:c r="G28" s="76"/>
      <x:c r="H28" s="76"/>
      <x:c r="I28" s="76"/>
      <x:c r="J28" s="76"/>
      <x:c r="K28" s="76"/>
      <x:c r="L28" s="76"/>
      <x:c r="M28" s="76"/>
      <x:c r="N28" s="76"/>
      <x:c r="O28" s="76"/>
      <x:c r="P28" s="76"/>
      <x:c r="Q28" s="76"/>
      <x:c r="R28" s="76"/>
      <x:c r="S28" s="76"/>
      <x:c r="T28" s="76"/>
      <x:c r="U28" s="76"/>
      <x:c r="V28" s="76"/>
      <x:c r="W28" s="76"/>
      <x:c r="X28" s="76"/>
      <x:c r="Y28" s="76"/>
      <x:c r="Z28" s="76"/>
    </x:row>
    <x:row r="29" ht="15" hidden="0" customHeight="1">
      <x:c r="A29" s="83" t="str">
        <x:v>Project repository</x:v>
      </x:c>
      <x:c r="B29" s="83" t="str">
        <x:v>CrewAI</x:v>
      </x:c>
      <x:c r="C29" s="83" t="str">
        <x:v>https://github.com/crewAIInc/crewAI</x:v>
      </x:c>
      <x:c r="D29" s="83" t="str">
        <x:v>Repository metadata, licence, description, activity and popularity</x:v>
      </x:c>
      <x:c r="E29" s="94" t="n">
        <x:v>46223</x:v>
      </x:c>
      <x:c r="F29" s="76"/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  <x:c r="S29" s="76"/>
      <x:c r="T29" s="76"/>
      <x:c r="U29" s="76"/>
      <x:c r="V29" s="76"/>
      <x:c r="W29" s="76"/>
      <x:c r="X29" s="76"/>
      <x:c r="Y29" s="76"/>
      <x:c r="Z29" s="76"/>
    </x:row>
    <x:row r="30" ht="15" hidden="0" customHeight="1">
      <x:c r="A30" s="83" t="str">
        <x:v>Project repository</x:v>
      </x:c>
      <x:c r="B30" s="83" t="str">
        <x:v>LlamaIndex</x:v>
      </x:c>
      <x:c r="C30" s="83" t="str">
        <x:v>https://github.com/run-llama/llama_index</x:v>
      </x:c>
      <x:c r="D30" s="83" t="str">
        <x:v>Repository metadata, licence, description, activity and popularity</x:v>
      </x:c>
      <x:c r="E30" s="94" t="n">
        <x:v>46223</x:v>
      </x:c>
      <x:c r="F30" s="76"/>
      <x:c r="G30" s="76"/>
      <x:c r="H30" s="76"/>
      <x:c r="I30" s="76"/>
      <x:c r="J30" s="76"/>
      <x:c r="K30" s="76"/>
      <x:c r="L30" s="76"/>
      <x:c r="M30" s="76"/>
      <x:c r="N30" s="76"/>
      <x:c r="O30" s="76"/>
      <x:c r="P30" s="76"/>
      <x:c r="Q30" s="76"/>
      <x:c r="R30" s="76"/>
      <x:c r="S30" s="76"/>
      <x:c r="T30" s="76"/>
      <x:c r="U30" s="76"/>
      <x:c r="V30" s="76"/>
      <x:c r="W30" s="76"/>
      <x:c r="X30" s="76"/>
      <x:c r="Y30" s="76"/>
      <x:c r="Z30" s="76"/>
    </x:row>
    <x:row r="31" ht="15" hidden="0" customHeight="1">
      <x:c r="A31" s="83" t="str">
        <x:v>Project repository</x:v>
      </x:c>
      <x:c r="B31" s="83" t="str">
        <x:v>Slidev</x:v>
      </x:c>
      <x:c r="C31" s="83" t="str">
        <x:v>https://github.com/slidevjs/slidev</x:v>
      </x:c>
      <x:c r="D31" s="83" t="str">
        <x:v>Repository metadata, licence, description, activity and popularity</x:v>
      </x:c>
      <x:c r="E31" s="94" t="n">
        <x:v>46223</x:v>
      </x:c>
      <x:c r="F31" s="76"/>
      <x:c r="G31" s="76"/>
      <x:c r="H31" s="76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  <x:c r="S31" s="76"/>
      <x:c r="T31" s="76"/>
      <x:c r="U31" s="76"/>
      <x:c r="V31" s="76"/>
      <x:c r="W31" s="76"/>
      <x:c r="X31" s="76"/>
      <x:c r="Y31" s="76"/>
      <x:c r="Z31" s="76"/>
    </x:row>
    <x:row r="32" ht="15" hidden="0" customHeight="1">
      <x:c r="A32" s="83" t="str">
        <x:v>Project repository</x:v>
      </x:c>
      <x:c r="B32" s="83" t="str">
        <x:v>Zammad</x:v>
      </x:c>
      <x:c r="C32" s="83" t="str">
        <x:v>https://github.com/zammad/zammad</x:v>
      </x:c>
      <x:c r="D32" s="83" t="str">
        <x:v>Repository metadata, licence, description, activity and popularity</x:v>
      </x:c>
      <x:c r="E32" s="94" t="n">
        <x:v>46223</x:v>
      </x:c>
      <x:c r="F32" s="76"/>
      <x:c r="G32" s="76"/>
      <x:c r="H32" s="76"/>
      <x:c r="I32" s="76"/>
      <x:c r="J32" s="76"/>
      <x:c r="K32" s="76"/>
      <x:c r="L32" s="76"/>
      <x:c r="M32" s="76"/>
      <x:c r="N32" s="76"/>
      <x:c r="O32" s="76"/>
      <x:c r="P32" s="76"/>
      <x:c r="Q32" s="76"/>
      <x:c r="R32" s="76"/>
      <x:c r="S32" s="76"/>
      <x:c r="T32" s="76"/>
      <x:c r="U32" s="76"/>
      <x:c r="V32" s="76"/>
      <x:c r="W32" s="76"/>
      <x:c r="X32" s="76"/>
      <x:c r="Y32" s="76"/>
      <x:c r="Z32" s="76"/>
    </x:row>
    <x:row r="33" ht="15" hidden="0" customHeight="1">
      <x:c r="A33" s="83" t="str">
        <x:v>Project repository</x:v>
      </x:c>
      <x:c r="B33" s="83" t="str">
        <x:v>Formbricks</x:v>
      </x:c>
      <x:c r="C33" s="83" t="str">
        <x:v>https://github.com/formbricks/formbricks</x:v>
      </x:c>
      <x:c r="D33" s="83" t="str">
        <x:v>Repository metadata, licence, description, activity and popularity</x:v>
      </x:c>
      <x:c r="E33" s="94" t="n">
        <x:v>46223</x:v>
      </x:c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  <x:c r="S33" s="76"/>
      <x:c r="T33" s="76"/>
      <x:c r="U33" s="76"/>
      <x:c r="V33" s="76"/>
      <x:c r="W33" s="76"/>
      <x:c r="X33" s="76"/>
      <x:c r="Y33" s="76"/>
      <x:c r="Z33" s="76"/>
    </x:row>
    <x:row r="34" ht="15" hidden="0" customHeight="1">
      <x:c r="A34" s="83" t="str">
        <x:v>Project repository</x:v>
      </x:c>
      <x:c r="B34" s="83" t="str">
        <x:v>Crawlee</x:v>
      </x:c>
      <x:c r="C34" s="83" t="str">
        <x:v>https://github.com/apify/crawlee</x:v>
      </x:c>
      <x:c r="D34" s="83" t="str">
        <x:v>Repository metadata, licence, description, activity and popularity</x:v>
      </x:c>
      <x:c r="E34" s="94" t="n">
        <x:v>46223</x:v>
      </x:c>
      <x:c r="F34" s="76"/>
      <x:c r="G34" s="76"/>
      <x:c r="H34" s="76"/>
      <x:c r="I34" s="76"/>
      <x:c r="J34" s="76"/>
      <x:c r="K34" s="76"/>
      <x:c r="L34" s="76"/>
      <x:c r="M34" s="76"/>
      <x:c r="N34" s="76"/>
      <x:c r="O34" s="76"/>
      <x:c r="P34" s="76"/>
      <x:c r="Q34" s="76"/>
      <x:c r="R34" s="76"/>
      <x:c r="S34" s="76"/>
      <x:c r="T34" s="76"/>
      <x:c r="U34" s="76"/>
      <x:c r="V34" s="76"/>
      <x:c r="W34" s="76"/>
      <x:c r="X34" s="76"/>
      <x:c r="Y34" s="76"/>
      <x:c r="Z34" s="76"/>
    </x:row>
    <x:row r="35" ht="15" hidden="0" customHeight="1">
      <x:c r="A35" s="83" t="str">
        <x:v>Project repository</x:v>
      </x:c>
      <x:c r="B35" s="83" t="str">
        <x:v>SearXNG</x:v>
      </x:c>
      <x:c r="C35" s="83" t="str">
        <x:v>https://github.com/searxng/searxng</x:v>
      </x:c>
      <x:c r="D35" s="83" t="str">
        <x:v>Repository metadata, licence, description, activity and popularity</x:v>
      </x:c>
      <x:c r="E35" s="94" t="n">
        <x:v>46223</x:v>
      </x:c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6"/>
      <x:c r="X35" s="76"/>
      <x:c r="Y35" s="76"/>
      <x:c r="Z35" s="76"/>
    </x:row>
    <x:row r="36" ht="15" hidden="0" customHeight="1">
      <x:c r="A36" s="83" t="str">
        <x:v>Project repository</x:v>
      </x:c>
      <x:c r="B36" s="83" t="str">
        <x:v>EspoCRM</x:v>
      </x:c>
      <x:c r="C36" s="83" t="str">
        <x:v>https://github.com/espocrm/espocrm</x:v>
      </x:c>
      <x:c r="D36" s="83" t="str">
        <x:v>Repository metadata, licence, description, activity and popularity</x:v>
      </x:c>
      <x:c r="E36" s="94" t="n">
        <x:v>46223</x:v>
      </x:c>
      <x:c r="F36" s="76"/>
      <x:c r="G36" s="76"/>
      <x:c r="H36" s="76"/>
      <x:c r="I36" s="76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6"/>
      <x:c r="X36" s="76"/>
      <x:c r="Y36" s="76"/>
      <x:c r="Z36" s="76"/>
    </x:row>
    <x:row r="37" ht="15" hidden="0" customHeight="1">
      <x:c r="A37" s="83" t="str">
        <x:v>Project repository</x:v>
      </x:c>
      <x:c r="B37" s="83" t="str">
        <x:v>Webstudio</x:v>
      </x:c>
      <x:c r="C37" s="83" t="str">
        <x:v>https://github.com/webstudio-is/webstudio</x:v>
      </x:c>
      <x:c r="D37" s="83" t="str">
        <x:v>Repository metadata, licence, description, activity and popularity</x:v>
      </x:c>
      <x:c r="E37" s="94" t="n">
        <x:v>46223</x:v>
      </x:c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6"/>
      <x:c r="X37" s="76"/>
      <x:c r="Y37" s="76"/>
      <x:c r="Z37" s="76"/>
    </x:row>
    <x:row r="38" ht="15" hidden="0" customHeight="1">
      <x:c r="A38" s="83" t="str">
        <x:v>Project repository</x:v>
      </x:c>
      <x:c r="B38" s="83" t="str">
        <x:v>GrowthBook</x:v>
      </x:c>
      <x:c r="C38" s="83" t="str">
        <x:v>https://github.com/growthbook/growthbook</x:v>
      </x:c>
      <x:c r="D38" s="83" t="str">
        <x:v>Repository metadata, licence, description, activity and popularity</x:v>
      </x:c>
      <x:c r="E38" s="94" t="n">
        <x:v>46223</x:v>
      </x:c>
      <x:c r="F38" s="76"/>
      <x:c r="G38" s="76"/>
      <x:c r="H38" s="76"/>
      <x:c r="I38" s="76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6"/>
      <x:c r="X38" s="76"/>
      <x:c r="Y38" s="76"/>
      <x:c r="Z38" s="76"/>
    </x:row>
    <x:row r="39" ht="15" hidden="0" customHeight="1">
      <x:c r="A39" s="83" t="str">
        <x:v>Project repository</x:v>
      </x:c>
      <x:c r="B39" s="83" t="str">
        <x:v>Windmill</x:v>
      </x:c>
      <x:c r="C39" s="83" t="str">
        <x:v>https://github.com/windmill-labs/windmill</x:v>
      </x:c>
      <x:c r="D39" s="83" t="str">
        <x:v>Repository metadata, licence, description, activity and popularity</x:v>
      </x:c>
      <x:c r="E39" s="94" t="n">
        <x:v>46223</x:v>
      </x:c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6"/>
      <x:c r="X39" s="76"/>
      <x:c r="Y39" s="76"/>
      <x:c r="Z39" s="76"/>
    </x:row>
    <x:row r="40" ht="15" hidden="0" customHeight="1">
      <x:c r="A40" s="83" t="str">
        <x:v>Project repository</x:v>
      </x:c>
      <x:c r="B40" s="83" t="str">
        <x:v>Langfuse</x:v>
      </x:c>
      <x:c r="C40" s="83" t="str">
        <x:v>https://github.com/langfuse/langfuse</x:v>
      </x:c>
      <x:c r="D40" s="83" t="str">
        <x:v>Repository metadata, licence, description, activity and popularity</x:v>
      </x:c>
      <x:c r="E40" s="94" t="n">
        <x:v>46223</x:v>
      </x:c>
      <x:c r="F40" s="76"/>
      <x:c r="G40" s="76"/>
      <x:c r="H40" s="76"/>
      <x:c r="I40" s="76"/>
      <x:c r="J40" s="76"/>
      <x:c r="K40" s="76"/>
      <x:c r="L40" s="76"/>
      <x:c r="M40" s="76"/>
      <x:c r="N40" s="76"/>
      <x:c r="O40" s="76"/>
      <x:c r="P40" s="76"/>
      <x:c r="Q40" s="76"/>
      <x:c r="R40" s="76"/>
      <x:c r="S40" s="76"/>
      <x:c r="T40" s="76"/>
      <x:c r="U40" s="76"/>
      <x:c r="V40" s="76"/>
      <x:c r="W40" s="76"/>
      <x:c r="X40" s="76"/>
      <x:c r="Y40" s="76"/>
      <x:c r="Z40" s="76"/>
    </x:row>
    <x:row r="41" ht="15" hidden="0" customHeight="1">
      <x:c r="A41" s="83" t="str">
        <x:v>Project repository</x:v>
      </x:c>
      <x:c r="B41" s="83" t="str">
        <x:v>FreeScout</x:v>
      </x:c>
      <x:c r="C41" s="83" t="str">
        <x:v>https://github.com/freescout-help-desk/freescout</x:v>
      </x:c>
      <x:c r="D41" s="83" t="str">
        <x:v>Repository metadata, licence, description, activity and popularity</x:v>
      </x:c>
      <x:c r="E41" s="94" t="n">
        <x:v>46223</x:v>
      </x:c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</x:row>
    <x:row r="42" ht="15" hidden="0" customHeight="1">
      <x:c r="A42" s="83" t="str">
        <x:v>Project repository</x:v>
      </x:c>
      <x:c r="B42" s="83" t="str">
        <x:v>HeyForm</x:v>
      </x:c>
      <x:c r="C42" s="83" t="str">
        <x:v>https://github.com/heyform/heyform</x:v>
      </x:c>
      <x:c r="D42" s="83" t="str">
        <x:v>Repository metadata, licence, description, activity and popularity</x:v>
      </x:c>
      <x:c r="E42" s="94" t="n">
        <x:v>46223</x:v>
      </x:c>
      <x:c r="F42" s="76"/>
      <x:c r="G42" s="76"/>
      <x:c r="H42" s="76"/>
      <x:c r="I42" s="76"/>
      <x:c r="J42" s="76"/>
      <x:c r="K42" s="76"/>
      <x:c r="L42" s="76"/>
      <x:c r="M42" s="76"/>
      <x:c r="N42" s="76"/>
      <x:c r="O42" s="76"/>
      <x:c r="P42" s="76"/>
      <x:c r="Q42" s="76"/>
      <x:c r="R42" s="76"/>
      <x:c r="S42" s="76"/>
      <x:c r="T42" s="76"/>
      <x:c r="U42" s="76"/>
      <x:c r="V42" s="76"/>
      <x:c r="W42" s="76"/>
      <x:c r="X42" s="76"/>
      <x:c r="Y42" s="76"/>
      <x:c r="Z42" s="76"/>
    </x:row>
    <x:row r="43" ht="15" hidden="0" customHeight="1">
      <x:c r="A43" s="83" t="str">
        <x:v>Project repository</x:v>
      </x:c>
      <x:c r="B43" s="83" t="str">
        <x:v>Easy!Appointments</x:v>
      </x:c>
      <x:c r="C43" s="83" t="str">
        <x:v>https://github.com/alextselegidis/easyappointments</x:v>
      </x:c>
      <x:c r="D43" s="83" t="str">
        <x:v>Repository metadata, licence, description, activity and popularity</x:v>
      </x:c>
      <x:c r="E43" s="94" t="n">
        <x:v>46223</x:v>
      </x:c>
      <x:c r="F43" s="76"/>
      <x:c r="G43" s="76"/>
      <x:c r="H43" s="76"/>
      <x:c r="I43" s="76"/>
      <x:c r="J43" s="76"/>
      <x:c r="K43" s="76"/>
      <x:c r="L43" s="76"/>
      <x:c r="M43" s="76"/>
      <x:c r="N43" s="76"/>
      <x:c r="O43" s="76"/>
      <x:c r="P43" s="76"/>
      <x:c r="Q43" s="76"/>
      <x:c r="R43" s="76"/>
      <x:c r="S43" s="76"/>
      <x:c r="T43" s="76"/>
      <x:c r="U43" s="76"/>
      <x:c r="V43" s="76"/>
      <x:c r="W43" s="76"/>
      <x:c r="X43" s="76"/>
      <x:c r="Y43" s="76"/>
      <x:c r="Z43" s="76"/>
    </x:row>
    <x:row r="44" ht="15" hidden="0" customHeight="1">
      <x:c r="A44" s="83" t="str">
        <x:v>Project repository</x:v>
      </x:c>
      <x:c r="B44" s="83" t="str">
        <x:v>Meetily</x:v>
      </x:c>
      <x:c r="C44" s="83" t="str">
        <x:v>https://github.com/Zackriya-Solutions/meetily</x:v>
      </x:c>
      <x:c r="D44" s="83" t="str">
        <x:v>Repository metadata, licence, description, activity and popularity</x:v>
      </x:c>
      <x:c r="E44" s="94" t="n">
        <x:v>46223</x:v>
      </x:c>
      <x:c r="F44" s="76"/>
      <x:c r="G44" s="76"/>
      <x:c r="H44" s="76"/>
      <x:c r="I44" s="76"/>
      <x:c r="J44" s="76"/>
      <x:c r="K44" s="76"/>
      <x:c r="L44" s="76"/>
      <x:c r="M44" s="76"/>
      <x:c r="N44" s="76"/>
      <x:c r="O44" s="76"/>
      <x:c r="P44" s="76"/>
      <x:c r="Q44" s="76"/>
      <x:c r="R44" s="76"/>
      <x:c r="S44" s="76"/>
      <x:c r="T44" s="76"/>
      <x:c r="U44" s="76"/>
      <x:c r="V44" s="76"/>
      <x:c r="W44" s="76"/>
      <x:c r="X44" s="76"/>
      <x:c r="Y44" s="76"/>
      <x:c r="Z44" s="76"/>
    </x:row>
    <x:row r="45" ht="15" hidden="0" customHeight="1">
      <x:c r="A45" s="83" t="str">
        <x:v>Project repository</x:v>
      </x:c>
      <x:c r="B45" s="83" t="str">
        <x:v>Presenton</x:v>
      </x:c>
      <x:c r="C45" s="83" t="str">
        <x:v>https://github.com/presenton/presenton</x:v>
      </x:c>
      <x:c r="D45" s="83" t="str">
        <x:v>Repository metadata, licence, description, activity and popularity</x:v>
      </x:c>
      <x:c r="E45" s="94" t="n">
        <x:v>46223</x:v>
      </x:c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  <x:c r="S45" s="76"/>
      <x:c r="T45" s="76"/>
      <x:c r="U45" s="76"/>
      <x:c r="V45" s="76"/>
      <x:c r="W45" s="76"/>
      <x:c r="X45" s="76"/>
      <x:c r="Y45" s="76"/>
      <x:c r="Z45" s="76"/>
    </x:row>
    <x:row r="46" ht="15" hidden="0" customHeight="1">
      <x:c r="A46" s="83" t="str">
        <x:v>Project repository</x:v>
      </x:c>
      <x:c r="B46" s="83" t="str">
        <x:v>Corteza</x:v>
      </x:c>
      <x:c r="C46" s="83" t="str">
        <x:v>https://github.com/cortezaproject/corteza</x:v>
      </x:c>
      <x:c r="D46" s="83" t="str">
        <x:v>Repository metadata, licence, description, activity and popularity</x:v>
      </x:c>
      <x:c r="E46" s="94" t="n">
        <x:v>46223</x:v>
      </x:c>
      <x:c r="F46" s="76"/>
      <x:c r="G46" s="76"/>
      <x:c r="H46" s="76"/>
      <x:c r="I46" s="76"/>
      <x:c r="J46" s="76"/>
      <x:c r="K46" s="76"/>
      <x:c r="L46" s="76"/>
      <x:c r="M46" s="76"/>
      <x:c r="N46" s="76"/>
      <x:c r="O46" s="76"/>
      <x:c r="P46" s="76"/>
      <x:c r="Q46" s="76"/>
      <x:c r="R46" s="76"/>
      <x:c r="S46" s="76"/>
      <x:c r="T46" s="76"/>
      <x:c r="U46" s="76"/>
      <x:c r="V46" s="76"/>
      <x:c r="W46" s="76"/>
      <x:c r="X46" s="76"/>
      <x:c r="Y46" s="76"/>
      <x:c r="Z46" s="76"/>
    </x:row>
    <x:row r="47" ht="15" hidden="0" customHeight="1">
      <x:c r="A47" s="83" t="str">
        <x:v>Project repository</x:v>
      </x:c>
      <x:c r="B47" s="83" t="str">
        <x:v>OpenPanel</x:v>
      </x:c>
      <x:c r="C47" s="83" t="str">
        <x:v>https://github.com/Openpanel-dev/openpanel</x:v>
      </x:c>
      <x:c r="D47" s="83" t="str">
        <x:v>Repository metadata, licence, description, activity and popularity</x:v>
      </x:c>
      <x:c r="E47" s="94" t="n">
        <x:v>46223</x:v>
      </x:c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  <x:c r="S47" s="76"/>
      <x:c r="T47" s="76"/>
      <x:c r="U47" s="76"/>
      <x:c r="V47" s="76"/>
      <x:c r="W47" s="76"/>
      <x:c r="X47" s="76"/>
      <x:c r="Y47" s="76"/>
      <x:c r="Z47" s="76"/>
    </x:row>
    <x:row r="48" ht="15" hidden="0" customHeight="1">
      <x:c r="A48" s="83" t="str">
        <x:v>Project repository</x:v>
      </x:c>
      <x:c r="B48" s="83" t="str">
        <x:v>Plunk</x:v>
      </x:c>
      <x:c r="C48" s="83" t="str">
        <x:v>https://github.com/useplunk/plunk</x:v>
      </x:c>
      <x:c r="D48" s="83" t="str">
        <x:v>Repository metadata, licence, description, activity and popularity</x:v>
      </x:c>
      <x:c r="E48" s="94" t="n">
        <x:v>46223</x:v>
      </x:c>
      <x:c r="F48" s="76"/>
      <x:c r="G48" s="76"/>
      <x:c r="H48" s="76"/>
      <x:c r="I48" s="76"/>
      <x:c r="J48" s="76"/>
      <x:c r="K48" s="76"/>
      <x:c r="L48" s="76"/>
      <x:c r="M48" s="76"/>
      <x:c r="N48" s="76"/>
      <x:c r="O48" s="76"/>
      <x:c r="P48" s="76"/>
      <x:c r="Q48" s="76"/>
      <x:c r="R48" s="76"/>
      <x:c r="S48" s="76"/>
      <x:c r="T48" s="76"/>
      <x:c r="U48" s="76"/>
      <x:c r="V48" s="76"/>
      <x:c r="W48" s="76"/>
      <x:c r="X48" s="76"/>
      <x:c r="Y48" s="76"/>
      <x:c r="Z48" s="76"/>
    </x:row>
    <x:row r="49" ht="15" hidden="0" customHeight="1">
      <x:c r="A49" s="83" t="str">
        <x:v>Project repository</x:v>
      </x:c>
      <x:c r="B49" s="83" t="str">
        <x:v>Jitsu</x:v>
      </x:c>
      <x:c r="C49" s="83" t="str">
        <x:v>https://github.com/jitsucom/jitsu</x:v>
      </x:c>
      <x:c r="D49" s="83" t="str">
        <x:v>Repository metadata, licence, description, activity and popularity</x:v>
      </x:c>
      <x:c r="E49" s="94" t="n">
        <x:v>46223</x:v>
      </x:c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</x:row>
    <x:row r="50" ht="15" hidden="0" customHeight="1">
      <x:c r="A50" s="83" t="str">
        <x:v>Project repository</x:v>
      </x:c>
      <x:c r="B50" s="83" t="str">
        <x:v>Vexa</x:v>
      </x:c>
      <x:c r="C50" s="83" t="str">
        <x:v>https://github.com/Vexa-ai/vexa</x:v>
      </x:c>
      <x:c r="D50" s="83" t="str">
        <x:v>Repository metadata, licence, description, activity and popularity</x:v>
      </x:c>
      <x:c r="E50" s="94" t="n">
        <x:v>46223</x:v>
      </x:c>
      <x:c r="F50" s="76"/>
      <x:c r="G50" s="76"/>
      <x:c r="H50" s="76"/>
      <x:c r="I50" s="76"/>
      <x:c r="J50" s="76"/>
      <x:c r="K50" s="76"/>
      <x:c r="L50" s="76"/>
      <x:c r="M50" s="76"/>
      <x:c r="N50" s="76"/>
      <x:c r="O50" s="76"/>
      <x:c r="P50" s="76"/>
      <x:c r="Q50" s="76"/>
      <x:c r="R50" s="76"/>
      <x:c r="S50" s="76"/>
      <x:c r="T50" s="76"/>
      <x:c r="U50" s="76"/>
      <x:c r="V50" s="76"/>
      <x:c r="W50" s="76"/>
      <x:c r="X50" s="76"/>
      <x:c r="Y50" s="76"/>
      <x:c r="Z50" s="76"/>
    </x:row>
    <x:row r="51" ht="15" hidden="0" customHeight="1">
      <x:c r="A51" s="83" t="str">
        <x:v>Project repository</x:v>
      </x:c>
      <x:c r="B51" s="83" t="str">
        <x:v>Snowplow</x:v>
      </x:c>
      <x:c r="C51" s="83" t="str">
        <x:v>https://github.com/snowplow/snowplow</x:v>
      </x:c>
      <x:c r="D51" s="83" t="str">
        <x:v>Repository metadata, licence, description, activity and popularity</x:v>
      </x:c>
      <x:c r="E51" s="94" t="n">
        <x:v>46223</x:v>
      </x:c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  <x:c r="S51" s="76"/>
      <x:c r="T51" s="76"/>
      <x:c r="U51" s="76"/>
      <x:c r="V51" s="76"/>
      <x:c r="W51" s="76"/>
      <x:c r="X51" s="76"/>
      <x:c r="Y51" s="76"/>
      <x:c r="Z51" s="76"/>
    </x:row>
    <x:row r="52" ht="15" hidden="0" customHeight="1">
      <x:c r="A52" s="83" t="str">
        <x:v>Project repository</x:v>
      </x:c>
      <x:c r="B52" s="83" t="str">
        <x:v>Atomic CRM</x:v>
      </x:c>
      <x:c r="C52" s="83" t="str">
        <x:v>https://github.com/marmelab/atomic-crm</x:v>
      </x:c>
      <x:c r="D52" s="83" t="str">
        <x:v>Repository metadata, licence, description, activity and popularity</x:v>
      </x:c>
      <x:c r="E52" s="94" t="n">
        <x:v>46223</x:v>
      </x:c>
      <x:c r="F52" s="76"/>
      <x:c r="G52" s="76"/>
      <x:c r="H52" s="76"/>
      <x:c r="I52" s="76"/>
      <x:c r="J52" s="76"/>
      <x:c r="K52" s="76"/>
      <x:c r="L52" s="76"/>
      <x:c r="M52" s="76"/>
      <x:c r="N52" s="76"/>
      <x:c r="O52" s="76"/>
      <x:c r="P52" s="76"/>
      <x:c r="Q52" s="76"/>
      <x:c r="R52" s="76"/>
      <x:c r="S52" s="76"/>
      <x:c r="T52" s="76"/>
      <x:c r="U52" s="76"/>
      <x:c r="V52" s="76"/>
      <x:c r="W52" s="76"/>
      <x:c r="X52" s="76"/>
      <x:c r="Y52" s="76"/>
      <x:c r="Z52" s="76"/>
    </x:row>
    <x:row r="53" ht="15" hidden="0" customHeight="1">
      <x:c r="A53" s="83" t="str">
        <x:v>Project repository</x:v>
      </x:c>
      <x:c r="B53" s="83" t="str">
        <x:v>Meltano</x:v>
      </x:c>
      <x:c r="C53" s="83" t="str">
        <x:v>https://github.com/meltano/meltano</x:v>
      </x:c>
      <x:c r="D53" s="83" t="str">
        <x:v>Repository metadata, licence, description, activity and popularity</x:v>
      </x:c>
      <x:c r="E53" s="94" t="n">
        <x:v>46223</x:v>
      </x:c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  <x:c r="S53" s="76"/>
      <x:c r="T53" s="76"/>
      <x:c r="U53" s="76"/>
      <x:c r="V53" s="76"/>
      <x:c r="W53" s="76"/>
      <x:c r="X53" s="76"/>
      <x:c r="Y53" s="76"/>
      <x:c r="Z53" s="76"/>
    </x:row>
    <x:row r="54" ht="15" hidden="0" customHeight="1">
      <x:c r="A54" s="83" t="str">
        <x:v>Project repository</x:v>
      </x:c>
      <x:c r="B54" s="83" t="str">
        <x:v>SuiteCRM</x:v>
      </x:c>
      <x:c r="C54" s="83" t="str">
        <x:v>https://github.com/SuiteCRM/SuiteCRM-Core</x:v>
      </x:c>
      <x:c r="D54" s="83" t="str">
        <x:v>Repository metadata, licence, description, activity and popularity</x:v>
      </x:c>
      <x:c r="E54" s="94" t="n">
        <x:v>46223</x:v>
      </x:c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</x:row>
    <x:row r="55" ht="15" hidden="0" customHeight="1">
      <x:c r="A55" s="83" t="str">
        <x:v>Project repository</x:v>
      </x:c>
      <x:c r="B55" s="83" t="str">
        <x:v>Keila</x:v>
      </x:c>
      <x:c r="C55" s="83" t="str">
        <x:v>https://github.com/pentacent/keila</x:v>
      </x:c>
      <x:c r="D55" s="83" t="str">
        <x:v>Repository metadata, licence, description, activity and popularity</x:v>
      </x:c>
      <x:c r="E55" s="94" t="n">
        <x:v>46223</x:v>
      </x:c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  <x:c r="S55" s="76"/>
      <x:c r="T55" s="76"/>
      <x:c r="U55" s="76"/>
      <x:c r="V55" s="76"/>
      <x:c r="W55" s="76"/>
      <x:c r="X55" s="76"/>
      <x:c r="Y55" s="76"/>
      <x:c r="Z55" s="76"/>
    </x:row>
    <x:row r="56" ht="15" hidden="0" customHeight="1">
      <x:c r="A56" s="83" t="str">
        <x:v>Project repository</x:v>
      </x:c>
      <x:c r="B56" s="83" t="str">
        <x:v>Marp</x:v>
      </x:c>
      <x:c r="C56" s="83" t="str">
        <x:v>https://github.com/marp-team/marp</x:v>
      </x:c>
      <x:c r="D56" s="83" t="str">
        <x:v>Repository metadata, licence, description, activity and popularity</x:v>
      </x:c>
      <x:c r="E56" s="94" t="n">
        <x:v>46223</x:v>
      </x:c>
      <x:c r="F56" s="76"/>
      <x:c r="G56" s="76"/>
      <x:c r="H56" s="76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  <x:c r="X56" s="76"/>
      <x:c r="Y56" s="76"/>
      <x:c r="Z56" s="76"/>
    </x:row>
    <x:row r="57" ht="15" hidden="0" customHeight="1">
      <x:c r="A57" s="83" t="str">
        <x:v>Project repository</x:v>
      </x:c>
      <x:c r="B57" s="83" t="str">
        <x:v>Dittofeed</x:v>
      </x:c>
      <x:c r="C57" s="83" t="str">
        <x:v>https://github.com/dittofeed/dittofeed</x:v>
      </x:c>
      <x:c r="D57" s="83" t="str">
        <x:v>Repository metadata, licence, description, activity and popularity</x:v>
      </x:c>
      <x:c r="E57" s="94" t="n">
        <x:v>46223</x:v>
      </x:c>
      <x:c r="F57" s="76"/>
      <x:c r="G57" s="76"/>
      <x:c r="H57" s="76"/>
      <x:c r="I57" s="76"/>
      <x:c r="J57" s="76"/>
      <x:c r="K57" s="76"/>
      <x:c r="L57" s="76"/>
      <x:c r="M57" s="76"/>
      <x:c r="N57" s="76"/>
      <x:c r="O57" s="76"/>
      <x:c r="P57" s="76"/>
      <x:c r="Q57" s="76"/>
      <x:c r="R57" s="76"/>
      <x:c r="S57" s="76"/>
      <x:c r="T57" s="76"/>
      <x:c r="U57" s="76"/>
      <x:c r="V57" s="76"/>
      <x:c r="W57" s="76"/>
      <x:c r="X57" s="76"/>
      <x:c r="Y57" s="76"/>
      <x:c r="Z57" s="76"/>
    </x:row>
    <x:row r="58" ht="15" hidden="0" customHeight="1">
      <x:c r="A58" s="83" t="str">
        <x:v>Project repository</x:v>
      </x:c>
      <x:c r="B58" s="83" t="str">
        <x:v>Automatisch</x:v>
      </x:c>
      <x:c r="C58" s="83" t="str">
        <x:v>https://github.com/automatisch/automatisch</x:v>
      </x:c>
      <x:c r="D58" s="83" t="str">
        <x:v>Repository metadata, licence, description, activity and popularity</x:v>
      </x:c>
      <x:c r="E58" s="94" t="n">
        <x:v>46223</x:v>
      </x:c>
      <x:c r="F58" s="76"/>
      <x:c r="G58" s="76"/>
      <x:c r="H58" s="76"/>
      <x:c r="I58" s="76"/>
      <x:c r="J58" s="76"/>
      <x:c r="K58" s="76"/>
      <x:c r="L58" s="76"/>
      <x:c r="M58" s="76"/>
      <x:c r="N58" s="76"/>
      <x:c r="O58" s="76"/>
      <x:c r="P58" s="76"/>
      <x:c r="Q58" s="76"/>
      <x:c r="R58" s="76"/>
      <x:c r="S58" s="76"/>
      <x:c r="T58" s="76"/>
      <x:c r="U58" s="76"/>
      <x:c r="V58" s="76"/>
      <x:c r="W58" s="76"/>
      <x:c r="X58" s="76"/>
      <x:c r="Y58" s="76"/>
      <x:c r="Z58" s="76"/>
    </x:row>
    <x:row r="59" ht="15" hidden="0" customHeight="1">
      <x:c r="A59" s="83" t="str">
        <x:v>Project repository</x:v>
      </x:c>
      <x:c r="B59" s="83" t="str">
        <x:v>Dify</x:v>
      </x:c>
      <x:c r="C59" s="83" t="str">
        <x:v>https://github.com/langgenius/dify</x:v>
      </x:c>
      <x:c r="D59" s="83" t="str">
        <x:v>Repository metadata, licence, description, activity and popularity</x:v>
      </x:c>
      <x:c r="E59" s="94" t="n">
        <x:v>46223</x:v>
      </x:c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6"/>
      <x:c r="X59" s="76"/>
      <x:c r="Y59" s="76"/>
      <x:c r="Z59" s="76"/>
    </x:row>
    <x:row r="60" ht="15" hidden="0" customHeight="1">
      <x:c r="A60" s="83" t="str">
        <x:v>Project repository</x:v>
      </x:c>
      <x:c r="B60" s="83" t="str">
        <x:v>Typebot</x:v>
      </x:c>
      <x:c r="C60" s="83" t="str">
        <x:v>https://github.com/baptisteArno/typebot.io</x:v>
      </x:c>
      <x:c r="D60" s="83" t="str">
        <x:v>Repository metadata, licence, description, activity and popularity</x:v>
      </x:c>
      <x:c r="E60" s="94" t="n">
        <x:v>46223</x:v>
      </x:c>
      <x:c r="F60" s="76"/>
      <x:c r="G60" s="76"/>
      <x:c r="H60" s="76"/>
      <x:c r="I60" s="76"/>
      <x:c r="J60" s="76"/>
      <x:c r="K60" s="76"/>
      <x:c r="L60" s="76"/>
      <x:c r="M60" s="76"/>
      <x:c r="N60" s="76"/>
      <x:c r="O60" s="76"/>
      <x:c r="P60" s="76"/>
      <x:c r="Q60" s="76"/>
      <x:c r="R60" s="76"/>
      <x:c r="S60" s="76"/>
      <x:c r="T60" s="76"/>
      <x:c r="U60" s="76"/>
      <x:c r="V60" s="76"/>
      <x:c r="W60" s="76"/>
      <x:c r="X60" s="76"/>
      <x:c r="Y60" s="76"/>
      <x:c r="Z60" s="76"/>
    </x:row>
    <x:row r="61" ht="15" hidden="0" customHeight="1">
      <x:c r="A61" s="83" t="str">
        <x:v>Project repository</x:v>
      </x:c>
      <x:c r="B61" s="83" t="str">
        <x:v>GEO/AEO Tracker</x:v>
      </x:c>
      <x:c r="C61" s="83" t="str">
        <x:v>https://github.com/danishashko/geo-aeo-tracker</x:v>
      </x:c>
      <x:c r="D61" s="83" t="str">
        <x:v>Repository metadata, licence, description, activity and popularity</x:v>
      </x:c>
      <x:c r="E61" s="94" t="n">
        <x:v>46223</x:v>
      </x:c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  <x:c r="S61" s="76"/>
      <x:c r="T61" s="76"/>
      <x:c r="U61" s="76"/>
      <x:c r="V61" s="76"/>
      <x:c r="W61" s="76"/>
      <x:c r="X61" s="76"/>
      <x:c r="Y61" s="76"/>
      <x:c r="Z61" s="76"/>
    </x:row>
    <x:row r="62" ht="15" hidden="0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6"/>
      <x:c r="P62" s="76"/>
      <x:c r="Q62" s="76"/>
      <x:c r="R62" s="76"/>
      <x:c r="S62" s="76"/>
      <x:c r="T62" s="76"/>
      <x:c r="U62" s="76"/>
      <x:c r="V62" s="76"/>
      <x:c r="W62" s="76"/>
      <x:c r="X62" s="76"/>
      <x:c r="Y62" s="76"/>
      <x:c r="Z62" s="76"/>
    </x:row>
    <x:row r="63" ht="15" hidden="0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6"/>
      <x:c r="P63" s="76"/>
      <x:c r="Q63" s="76"/>
      <x:c r="R63" s="76"/>
      <x:c r="S63" s="76"/>
      <x:c r="T63" s="76"/>
      <x:c r="U63" s="76"/>
      <x:c r="V63" s="76"/>
      <x:c r="W63" s="76"/>
      <x:c r="X63" s="76"/>
      <x:c r="Y63" s="76"/>
      <x:c r="Z63" s="76"/>
    </x:row>
    <x:row r="64" ht="15" hidden="0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6"/>
      <x:c r="P64" s="76"/>
      <x:c r="Q64" s="76"/>
      <x:c r="R64" s="76"/>
      <x:c r="S64" s="76"/>
      <x:c r="T64" s="76"/>
      <x:c r="U64" s="76"/>
      <x:c r="V64" s="76"/>
      <x:c r="W64" s="76"/>
      <x:c r="X64" s="76"/>
      <x:c r="Y64" s="76"/>
      <x:c r="Z64" s="76"/>
    </x:row>
    <x:row r="65" ht="15" hidden="0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6"/>
      <x:c r="P65" s="76"/>
      <x:c r="Q65" s="76"/>
      <x:c r="R65" s="76"/>
      <x:c r="S65" s="76"/>
      <x:c r="T65" s="76"/>
      <x:c r="U65" s="76"/>
      <x:c r="V65" s="76"/>
      <x:c r="W65" s="76"/>
      <x:c r="X65" s="76"/>
      <x:c r="Y65" s="76"/>
      <x:c r="Z65" s="76"/>
    </x:row>
    <x:row r="66" ht="15" hidden="0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6"/>
      <x:c r="P66" s="76"/>
      <x:c r="Q66" s="76"/>
      <x:c r="R66" s="76"/>
      <x:c r="S66" s="76"/>
      <x:c r="T66" s="76"/>
      <x:c r="U66" s="76"/>
      <x:c r="V66" s="76"/>
      <x:c r="W66" s="76"/>
      <x:c r="X66" s="76"/>
      <x:c r="Y66" s="76"/>
      <x:c r="Z66" s="76"/>
    </x:row>
    <x:row r="67" ht="15" hidden="0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  <x:c r="S67" s="76"/>
      <x:c r="T67" s="76"/>
      <x:c r="U67" s="76"/>
      <x:c r="V67" s="76"/>
      <x:c r="W67" s="76"/>
      <x:c r="X67" s="76"/>
      <x:c r="Y67" s="76"/>
      <x:c r="Z67" s="76"/>
    </x:row>
    <x:row r="68" ht="15" hidden="0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6"/>
      <x:c r="P68" s="76"/>
      <x:c r="Q68" s="76"/>
      <x:c r="R68" s="76"/>
      <x:c r="S68" s="76"/>
      <x:c r="T68" s="76"/>
      <x:c r="U68" s="76"/>
      <x:c r="V68" s="76"/>
      <x:c r="W68" s="76"/>
      <x:c r="X68" s="76"/>
      <x:c r="Y68" s="76"/>
      <x:c r="Z68" s="76"/>
    </x:row>
    <x:row r="69" ht="15" hidden="0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6"/>
      <x:c r="P69" s="76"/>
      <x:c r="Q69" s="76"/>
      <x:c r="R69" s="76"/>
      <x:c r="S69" s="76"/>
      <x:c r="T69" s="76"/>
      <x:c r="U69" s="76"/>
      <x:c r="V69" s="76"/>
      <x:c r="W69" s="76"/>
      <x:c r="X69" s="76"/>
      <x:c r="Y69" s="76"/>
      <x:c r="Z69" s="76"/>
    </x:row>
    <x:row r="70" ht="15" hidden="0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  <x:c r="Q70" s="76"/>
      <x:c r="R70" s="76"/>
      <x:c r="S70" s="76"/>
      <x:c r="T70" s="76"/>
      <x:c r="U70" s="76"/>
      <x:c r="V70" s="76"/>
      <x:c r="W70" s="76"/>
      <x:c r="X70" s="76"/>
      <x:c r="Y70" s="76"/>
      <x:c r="Z70" s="76"/>
    </x:row>
    <x:row r="71" ht="15" hidden="0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  <x:c r="Q71" s="76"/>
      <x:c r="R71" s="76"/>
      <x:c r="S71" s="76"/>
      <x:c r="T71" s="76"/>
      <x:c r="U71" s="76"/>
      <x:c r="V71" s="76"/>
      <x:c r="W71" s="76"/>
      <x:c r="X71" s="76"/>
      <x:c r="Y71" s="76"/>
      <x:c r="Z71" s="76"/>
    </x:row>
    <x:row r="72" ht="15" hidden="0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  <x:c r="Q72" s="76"/>
      <x:c r="R72" s="76"/>
      <x:c r="S72" s="76"/>
      <x:c r="T72" s="76"/>
      <x:c r="U72" s="76"/>
      <x:c r="V72" s="76"/>
      <x:c r="W72" s="76"/>
      <x:c r="X72" s="76"/>
      <x:c r="Y72" s="76"/>
      <x:c r="Z72" s="76"/>
    </x:row>
    <x:row r="73" ht="15" hidden="0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  <x:c r="S73" s="76"/>
      <x:c r="T73" s="76"/>
      <x:c r="U73" s="76"/>
      <x:c r="V73" s="76"/>
      <x:c r="W73" s="76"/>
      <x:c r="X73" s="76"/>
      <x:c r="Y73" s="76"/>
      <x:c r="Z73" s="76"/>
    </x:row>
    <x:row r="74" ht="15" hidden="0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6"/>
      <x:c r="P74" s="76"/>
      <x:c r="Q74" s="76"/>
      <x:c r="R74" s="76"/>
      <x:c r="S74" s="76"/>
      <x:c r="T74" s="76"/>
      <x:c r="U74" s="76"/>
      <x:c r="V74" s="76"/>
      <x:c r="W74" s="76"/>
      <x:c r="X74" s="76"/>
      <x:c r="Y74" s="76"/>
      <x:c r="Z74" s="76"/>
    </x:row>
    <x:row r="75" ht="15" hidden="0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  <x:c r="S75" s="76"/>
      <x:c r="T75" s="76"/>
      <x:c r="U75" s="76"/>
      <x:c r="V75" s="76"/>
      <x:c r="W75" s="76"/>
      <x:c r="X75" s="76"/>
      <x:c r="Y75" s="76"/>
      <x:c r="Z75" s="76"/>
    </x:row>
    <x:row r="76" ht="15" hidden="0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6"/>
      <x:c r="P76" s="76"/>
      <x:c r="Q76" s="76"/>
      <x:c r="R76" s="76"/>
      <x:c r="S76" s="76"/>
      <x:c r="T76" s="76"/>
      <x:c r="U76" s="76"/>
      <x:c r="V76" s="76"/>
      <x:c r="W76" s="76"/>
      <x:c r="X76" s="76"/>
      <x:c r="Y76" s="76"/>
      <x:c r="Z76" s="76"/>
    </x:row>
    <x:row r="77" ht="15" hidden="0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6"/>
      <x:c r="P77" s="76"/>
      <x:c r="Q77" s="76"/>
      <x:c r="R77" s="76"/>
      <x:c r="S77" s="76"/>
      <x:c r="T77" s="76"/>
      <x:c r="U77" s="76"/>
      <x:c r="V77" s="76"/>
      <x:c r="W77" s="76"/>
      <x:c r="X77" s="76"/>
      <x:c r="Y77" s="76"/>
      <x:c r="Z77" s="76"/>
    </x:row>
    <x:row r="78" ht="15" hidden="0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6"/>
      <x:c r="P78" s="76"/>
      <x:c r="Q78" s="76"/>
      <x:c r="R78" s="76"/>
      <x:c r="S78" s="76"/>
      <x:c r="T78" s="76"/>
      <x:c r="U78" s="76"/>
      <x:c r="V78" s="76"/>
      <x:c r="W78" s="76"/>
      <x:c r="X78" s="76"/>
      <x:c r="Y78" s="76"/>
      <x:c r="Z78" s="76"/>
    </x:row>
    <x:row r="79" ht="15" hidden="0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6"/>
      <x:c r="P79" s="76"/>
      <x:c r="Q79" s="76"/>
      <x:c r="R79" s="76"/>
      <x:c r="S79" s="76"/>
      <x:c r="T79" s="76"/>
      <x:c r="U79" s="76"/>
      <x:c r="V79" s="76"/>
      <x:c r="W79" s="76"/>
      <x:c r="X79" s="76"/>
      <x:c r="Y79" s="76"/>
      <x:c r="Z79" s="76"/>
    </x:row>
    <x:row r="80" ht="15" hidden="0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6"/>
      <x:c r="P80" s="76"/>
      <x:c r="Q80" s="76"/>
      <x:c r="R80" s="76"/>
      <x:c r="S80" s="76"/>
      <x:c r="T80" s="76"/>
      <x:c r="U80" s="76"/>
      <x:c r="V80" s="76"/>
      <x:c r="W80" s="76"/>
      <x:c r="X80" s="76"/>
      <x:c r="Y80" s="76"/>
      <x:c r="Z80" s="76"/>
    </x:row>
    <x:row r="81" ht="15" hidden="0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  <x:c r="S81" s="76"/>
      <x:c r="T81" s="76"/>
      <x:c r="U81" s="76"/>
      <x:c r="V81" s="76"/>
      <x:c r="W81" s="76"/>
      <x:c r="X81" s="76"/>
      <x:c r="Y81" s="76"/>
      <x:c r="Z81" s="76"/>
    </x:row>
    <x:row r="82" ht="15" hidden="0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6"/>
      <x:c r="P82" s="76"/>
      <x:c r="Q82" s="76"/>
      <x:c r="R82" s="76"/>
      <x:c r="S82" s="76"/>
      <x:c r="T82" s="76"/>
      <x:c r="U82" s="76"/>
      <x:c r="V82" s="76"/>
      <x:c r="W82" s="76"/>
      <x:c r="X82" s="76"/>
      <x:c r="Y82" s="76"/>
      <x:c r="Z82" s="76"/>
    </x:row>
    <x:row r="83" ht="15" hidden="0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  <x:c r="S83" s="76"/>
      <x:c r="T83" s="76"/>
      <x:c r="U83" s="76"/>
      <x:c r="V83" s="76"/>
      <x:c r="W83" s="76"/>
      <x:c r="X83" s="76"/>
      <x:c r="Y83" s="76"/>
      <x:c r="Z83" s="76"/>
    </x:row>
    <x:row r="84" ht="15" hidden="0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6"/>
      <x:c r="P84" s="76"/>
      <x:c r="Q84" s="76"/>
      <x:c r="R84" s="76"/>
      <x:c r="S84" s="76"/>
      <x:c r="T84" s="76"/>
      <x:c r="U84" s="76"/>
      <x:c r="V84" s="76"/>
      <x:c r="W84" s="76"/>
      <x:c r="X84" s="76"/>
      <x:c r="Y84" s="76"/>
      <x:c r="Z84" s="76"/>
    </x:row>
    <x:row r="85" ht="15" hidden="0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6"/>
      <x:c r="P85" s="76"/>
      <x:c r="Q85" s="76"/>
      <x:c r="R85" s="76"/>
      <x:c r="S85" s="76"/>
      <x:c r="T85" s="76"/>
      <x:c r="U85" s="76"/>
      <x:c r="V85" s="76"/>
      <x:c r="W85" s="76"/>
      <x:c r="X85" s="76"/>
      <x:c r="Y85" s="76"/>
      <x:c r="Z85" s="76"/>
    </x:row>
    <x:row r="86" ht="15" hidden="0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6"/>
      <x:c r="P86" s="76"/>
      <x:c r="Q86" s="76"/>
      <x:c r="R86" s="76"/>
      <x:c r="S86" s="76"/>
      <x:c r="T86" s="76"/>
      <x:c r="U86" s="76"/>
      <x:c r="V86" s="76"/>
      <x:c r="W86" s="76"/>
      <x:c r="X86" s="76"/>
      <x:c r="Y86" s="76"/>
      <x:c r="Z86" s="76"/>
    </x:row>
    <x:row r="87" ht="15" hidden="0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6"/>
      <x:c r="P87" s="76"/>
      <x:c r="Q87" s="76"/>
      <x:c r="R87" s="76"/>
      <x:c r="S87" s="76"/>
      <x:c r="T87" s="76"/>
      <x:c r="U87" s="76"/>
      <x:c r="V87" s="76"/>
      <x:c r="W87" s="76"/>
      <x:c r="X87" s="76"/>
      <x:c r="Y87" s="76"/>
      <x:c r="Z87" s="76"/>
    </x:row>
    <x:row r="88" ht="15" hidden="0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6"/>
      <x:c r="P88" s="76"/>
      <x:c r="Q88" s="76"/>
      <x:c r="R88" s="76"/>
      <x:c r="S88" s="76"/>
      <x:c r="T88" s="76"/>
      <x:c r="U88" s="76"/>
      <x:c r="V88" s="76"/>
      <x:c r="W88" s="76"/>
      <x:c r="X88" s="76"/>
      <x:c r="Y88" s="76"/>
      <x:c r="Z88" s="76"/>
    </x:row>
    <x:row r="89" ht="15" hidden="0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  <x:c r="S89" s="76"/>
      <x:c r="T89" s="76"/>
      <x:c r="U89" s="76"/>
      <x:c r="V89" s="76"/>
      <x:c r="W89" s="76"/>
      <x:c r="X89" s="76"/>
      <x:c r="Y89" s="76"/>
      <x:c r="Z89" s="76"/>
    </x:row>
    <x:row r="90" ht="15" hidden="0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6"/>
      <x:c r="P90" s="76"/>
      <x:c r="Q90" s="76"/>
      <x:c r="R90" s="76"/>
      <x:c r="S90" s="76"/>
      <x:c r="T90" s="76"/>
      <x:c r="U90" s="76"/>
      <x:c r="V90" s="76"/>
      <x:c r="W90" s="76"/>
      <x:c r="X90" s="76"/>
      <x:c r="Y90" s="76"/>
      <x:c r="Z90" s="76"/>
    </x:row>
    <x:row r="91" ht="15" hidden="0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6"/>
      <x:c r="P91" s="76"/>
      <x:c r="Q91" s="76"/>
      <x:c r="R91" s="76"/>
      <x:c r="S91" s="76"/>
      <x:c r="T91" s="76"/>
      <x:c r="U91" s="76"/>
      <x:c r="V91" s="76"/>
      <x:c r="W91" s="76"/>
      <x:c r="X91" s="76"/>
      <x:c r="Y91" s="76"/>
      <x:c r="Z91" s="76"/>
    </x:row>
    <x:row r="92" ht="15" hidden="0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6"/>
      <x:c r="P92" s="76"/>
      <x:c r="Q92" s="76"/>
      <x:c r="R92" s="76"/>
      <x:c r="S92" s="76"/>
      <x:c r="T92" s="76"/>
      <x:c r="U92" s="76"/>
      <x:c r="V92" s="76"/>
      <x:c r="W92" s="76"/>
      <x:c r="X92" s="76"/>
      <x:c r="Y92" s="76"/>
      <x:c r="Z92" s="76"/>
    </x:row>
    <x:row r="93" ht="15" hidden="0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6"/>
      <x:c r="P93" s="76"/>
      <x:c r="Q93" s="76"/>
      <x:c r="R93" s="76"/>
      <x:c r="S93" s="76"/>
      <x:c r="T93" s="76"/>
      <x:c r="U93" s="76"/>
      <x:c r="V93" s="76"/>
      <x:c r="W93" s="76"/>
      <x:c r="X93" s="76"/>
      <x:c r="Y93" s="76"/>
      <x:c r="Z93" s="76"/>
    </x:row>
    <x:row r="94" ht="15" hidden="0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6"/>
      <x:c r="P94" s="76"/>
      <x:c r="Q94" s="76"/>
      <x:c r="R94" s="76"/>
      <x:c r="S94" s="76"/>
      <x:c r="T94" s="76"/>
      <x:c r="U94" s="76"/>
      <x:c r="V94" s="76"/>
      <x:c r="W94" s="76"/>
      <x:c r="X94" s="76"/>
      <x:c r="Y94" s="76"/>
      <x:c r="Z94" s="76"/>
    </x:row>
    <x:row r="95" ht="15" hidden="0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  <x:c r="S95" s="76"/>
      <x:c r="T95" s="76"/>
      <x:c r="U95" s="76"/>
      <x:c r="V95" s="76"/>
      <x:c r="W95" s="76"/>
      <x:c r="X95" s="76"/>
      <x:c r="Y95" s="76"/>
      <x:c r="Z95" s="76"/>
    </x:row>
    <x:row r="96" ht="15" hidden="0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6"/>
      <x:c r="X96" s="76"/>
      <x:c r="Y96" s="76"/>
      <x:c r="Z96" s="76"/>
    </x:row>
    <x:row r="97" ht="15" hidden="0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6"/>
      <x:c r="P97" s="76"/>
      <x:c r="Q97" s="76"/>
      <x:c r="R97" s="76"/>
      <x:c r="S97" s="76"/>
      <x:c r="T97" s="76"/>
      <x:c r="U97" s="76"/>
      <x:c r="V97" s="76"/>
      <x:c r="W97" s="76"/>
      <x:c r="X97" s="76"/>
      <x:c r="Y97" s="76"/>
      <x:c r="Z97" s="76"/>
    </x:row>
    <x:row r="98" ht="15" hidden="0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6"/>
      <x:c r="P98" s="76"/>
      <x:c r="Q98" s="76"/>
      <x:c r="R98" s="76"/>
      <x:c r="S98" s="76"/>
      <x:c r="T98" s="76"/>
      <x:c r="U98" s="76"/>
      <x:c r="V98" s="76"/>
      <x:c r="W98" s="76"/>
      <x:c r="X98" s="76"/>
      <x:c r="Y98" s="76"/>
      <x:c r="Z98" s="76"/>
    </x:row>
    <x:row r="99" ht="15" hidden="0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6"/>
      <x:c r="P99" s="76"/>
      <x:c r="Q99" s="76"/>
      <x:c r="R99" s="76"/>
      <x:c r="S99" s="76"/>
      <x:c r="T99" s="76"/>
      <x:c r="U99" s="76"/>
      <x:c r="V99" s="76"/>
      <x:c r="W99" s="76"/>
      <x:c r="X99" s="76"/>
      <x:c r="Y99" s="76"/>
      <x:c r="Z99" s="76"/>
    </x:row>
    <x:row r="100" ht="15" hidden="0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6"/>
      <x:c r="P100" s="76"/>
      <x:c r="Q100" s="76"/>
      <x:c r="R100" s="76"/>
      <x:c r="S100" s="76"/>
      <x:c r="T100" s="76"/>
      <x:c r="U100" s="76"/>
      <x:c r="V100" s="76"/>
      <x:c r="W100" s="76"/>
      <x:c r="X100" s="76"/>
      <x:c r="Y100" s="76"/>
      <x:c r="Z100" s="76"/>
    </x:row>
    <x:row r="101" ht="15" hidden="0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  <x:c r="S101" s="76"/>
      <x:c r="T101" s="76"/>
      <x:c r="U101" s="76"/>
      <x:c r="V101" s="76"/>
      <x:c r="W101" s="76"/>
      <x:c r="X101" s="76"/>
      <x:c r="Y101" s="76"/>
      <x:c r="Z101" s="76"/>
    </x:row>
    <x:row r="102" ht="15" hidden="0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6"/>
      <x:c r="P102" s="76"/>
      <x:c r="Q102" s="76"/>
      <x:c r="R102" s="76"/>
      <x:c r="S102" s="76"/>
      <x:c r="T102" s="76"/>
      <x:c r="U102" s="76"/>
      <x:c r="V102" s="76"/>
      <x:c r="W102" s="76"/>
      <x:c r="X102" s="76"/>
      <x:c r="Y102" s="76"/>
      <x:c r="Z102" s="76"/>
    </x:row>
    <x:row r="103" ht="15" hidden="0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6"/>
      <x:c r="P103" s="76"/>
      <x:c r="Q103" s="76"/>
      <x:c r="R103" s="76"/>
      <x:c r="S103" s="76"/>
      <x:c r="T103" s="76"/>
      <x:c r="U103" s="76"/>
      <x:c r="V103" s="76"/>
      <x:c r="W103" s="76"/>
      <x:c r="X103" s="76"/>
      <x:c r="Y103" s="76"/>
      <x:c r="Z103" s="76"/>
    </x:row>
    <x:row r="104" ht="15" hidden="0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6"/>
      <x:c r="P104" s="76"/>
      <x:c r="Q104" s="76"/>
      <x:c r="R104" s="76"/>
      <x:c r="S104" s="76"/>
      <x:c r="T104" s="76"/>
      <x:c r="U104" s="76"/>
      <x:c r="V104" s="76"/>
      <x:c r="W104" s="76"/>
      <x:c r="X104" s="76"/>
      <x:c r="Y104" s="76"/>
      <x:c r="Z104" s="76"/>
    </x:row>
    <x:row r="105" ht="15" hidden="0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6"/>
      <x:c r="P105" s="76"/>
      <x:c r="Q105" s="76"/>
      <x:c r="R105" s="76"/>
      <x:c r="S105" s="76"/>
      <x:c r="T105" s="76"/>
      <x:c r="U105" s="76"/>
      <x:c r="V105" s="76"/>
      <x:c r="W105" s="76"/>
      <x:c r="X105" s="76"/>
      <x:c r="Y105" s="76"/>
      <x:c r="Z105" s="76"/>
    </x:row>
    <x:row r="106" ht="15" hidden="0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6"/>
      <x:c r="P106" s="76"/>
      <x:c r="Q106" s="76"/>
      <x:c r="R106" s="76"/>
      <x:c r="S106" s="76"/>
      <x:c r="T106" s="76"/>
      <x:c r="U106" s="76"/>
      <x:c r="V106" s="76"/>
      <x:c r="W106" s="76"/>
      <x:c r="X106" s="76"/>
      <x:c r="Y106" s="76"/>
      <x:c r="Z106" s="76"/>
    </x:row>
    <x:row r="107" ht="15" hidden="0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  <x:c r="S107" s="76"/>
      <x:c r="T107" s="76"/>
      <x:c r="U107" s="76"/>
      <x:c r="V107" s="76"/>
      <x:c r="W107" s="76"/>
      <x:c r="X107" s="76"/>
      <x:c r="Y107" s="76"/>
      <x:c r="Z107" s="76"/>
    </x:row>
    <x:row r="108" ht="15" hidden="0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6"/>
      <x:c r="P108" s="76"/>
      <x:c r="Q108" s="76"/>
      <x:c r="R108" s="76"/>
      <x:c r="S108" s="76"/>
      <x:c r="T108" s="76"/>
      <x:c r="U108" s="76"/>
      <x:c r="V108" s="76"/>
      <x:c r="W108" s="76"/>
      <x:c r="X108" s="76"/>
      <x:c r="Y108" s="76"/>
      <x:c r="Z108" s="76"/>
    </x:row>
    <x:row r="109" ht="15" hidden="0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  <x:c r="S109" s="76"/>
      <x:c r="T109" s="76"/>
      <x:c r="U109" s="76"/>
      <x:c r="V109" s="76"/>
      <x:c r="W109" s="76"/>
      <x:c r="X109" s="76"/>
      <x:c r="Y109" s="76"/>
      <x:c r="Z109" s="76"/>
    </x:row>
    <x:row r="110" ht="15" hidden="0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6"/>
      <x:c r="P110" s="76"/>
      <x:c r="Q110" s="76"/>
      <x:c r="R110" s="76"/>
      <x:c r="S110" s="76"/>
      <x:c r="T110" s="76"/>
      <x:c r="U110" s="76"/>
      <x:c r="V110" s="76"/>
      <x:c r="W110" s="76"/>
      <x:c r="X110" s="76"/>
      <x:c r="Y110" s="76"/>
      <x:c r="Z110" s="76"/>
    </x:row>
    <x:row r="111" ht="15" hidden="0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  <x:c r="S111" s="76"/>
      <x:c r="T111" s="76"/>
      <x:c r="U111" s="76"/>
      <x:c r="V111" s="76"/>
      <x:c r="W111" s="76"/>
      <x:c r="X111" s="76"/>
      <x:c r="Y111" s="76"/>
      <x:c r="Z111" s="76"/>
    </x:row>
    <x:row r="112" ht="15" hidden="0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6"/>
      <x:c r="P112" s="76"/>
      <x:c r="Q112" s="76"/>
      <x:c r="R112" s="76"/>
      <x:c r="S112" s="76"/>
      <x:c r="T112" s="76"/>
      <x:c r="U112" s="76"/>
      <x:c r="V112" s="76"/>
      <x:c r="W112" s="76"/>
      <x:c r="X112" s="76"/>
      <x:c r="Y112" s="76"/>
      <x:c r="Z112" s="76"/>
    </x:row>
    <x:row r="113" ht="15" hidden="0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  <x:c r="S113" s="76"/>
      <x:c r="T113" s="76"/>
      <x:c r="U113" s="76"/>
      <x:c r="V113" s="76"/>
      <x:c r="W113" s="76"/>
      <x:c r="X113" s="76"/>
      <x:c r="Y113" s="76"/>
      <x:c r="Z113" s="76"/>
    </x:row>
    <x:row r="114" ht="15" hidden="0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6"/>
      <x:c r="P114" s="76"/>
      <x:c r="Q114" s="76"/>
      <x:c r="R114" s="76"/>
      <x:c r="S114" s="76"/>
      <x:c r="T114" s="76"/>
      <x:c r="U114" s="76"/>
      <x:c r="V114" s="76"/>
      <x:c r="W114" s="76"/>
      <x:c r="X114" s="76"/>
      <x:c r="Y114" s="76"/>
      <x:c r="Z114" s="76"/>
    </x:row>
    <x:row r="115" ht="15" hidden="0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  <x:c r="S115" s="76"/>
      <x:c r="T115" s="76"/>
      <x:c r="U115" s="76"/>
      <x:c r="V115" s="76"/>
      <x:c r="W115" s="76"/>
      <x:c r="X115" s="76"/>
      <x:c r="Y115" s="76"/>
      <x:c r="Z115" s="76"/>
    </x:row>
    <x:row r="116" ht="15" hidden="0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6"/>
      <x:c r="P116" s="76"/>
      <x:c r="Q116" s="76"/>
      <x:c r="R116" s="76"/>
      <x:c r="S116" s="76"/>
      <x:c r="T116" s="76"/>
      <x:c r="U116" s="76"/>
      <x:c r="V116" s="76"/>
      <x:c r="W116" s="76"/>
      <x:c r="X116" s="76"/>
      <x:c r="Y116" s="76"/>
      <x:c r="Z116" s="76"/>
    </x:row>
    <x:row r="117" ht="15" hidden="0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  <x:c r="S117" s="76"/>
      <x:c r="T117" s="76"/>
      <x:c r="U117" s="76"/>
      <x:c r="V117" s="76"/>
      <x:c r="W117" s="76"/>
      <x:c r="X117" s="76"/>
      <x:c r="Y117" s="76"/>
      <x:c r="Z117" s="76"/>
    </x:row>
    <x:row r="118" ht="15" hidden="0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6"/>
      <x:c r="P118" s="76"/>
      <x:c r="Q118" s="76"/>
      <x:c r="R118" s="76"/>
      <x:c r="S118" s="76"/>
      <x:c r="T118" s="76"/>
      <x:c r="U118" s="76"/>
      <x:c r="V118" s="76"/>
      <x:c r="W118" s="76"/>
      <x:c r="X118" s="76"/>
      <x:c r="Y118" s="76"/>
      <x:c r="Z118" s="76"/>
    </x:row>
    <x:row r="119" ht="15" hidden="0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  <x:c r="S119" s="76"/>
      <x:c r="T119" s="76"/>
      <x:c r="U119" s="76"/>
      <x:c r="V119" s="76"/>
      <x:c r="W119" s="76"/>
      <x:c r="X119" s="76"/>
      <x:c r="Y119" s="76"/>
      <x:c r="Z119" s="76"/>
    </x:row>
    <x:row r="120" ht="15" hidden="0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6"/>
      <x:c r="X120" s="76"/>
      <x:c r="Y120" s="76"/>
      <x:c r="Z120" s="76"/>
    </x:row>
    <x:row r="121" ht="15" hidden="0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6"/>
      <x:c r="P121" s="76"/>
      <x:c r="Q121" s="76"/>
      <x:c r="R121" s="76"/>
      <x:c r="S121" s="76"/>
      <x:c r="T121" s="76"/>
      <x:c r="U121" s="76"/>
      <x:c r="V121" s="76"/>
      <x:c r="W121" s="76"/>
      <x:c r="X121" s="76"/>
      <x:c r="Y121" s="76"/>
      <x:c r="Z121" s="76"/>
    </x:row>
    <x:row r="122" ht="15" hidden="0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6"/>
      <x:c r="P122" s="76"/>
      <x:c r="Q122" s="76"/>
      <x:c r="R122" s="76"/>
      <x:c r="S122" s="76"/>
      <x:c r="T122" s="76"/>
      <x:c r="U122" s="76"/>
      <x:c r="V122" s="76"/>
      <x:c r="W122" s="76"/>
      <x:c r="X122" s="76"/>
      <x:c r="Y122" s="76"/>
      <x:c r="Z122" s="76"/>
    </x:row>
    <x:row r="123" ht="15" hidden="0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6"/>
      <x:c r="P123" s="76"/>
      <x:c r="Q123" s="76"/>
      <x:c r="R123" s="76"/>
      <x:c r="S123" s="76"/>
      <x:c r="T123" s="76"/>
      <x:c r="U123" s="76"/>
      <x:c r="V123" s="76"/>
      <x:c r="W123" s="76"/>
      <x:c r="X123" s="76"/>
      <x:c r="Y123" s="76"/>
      <x:c r="Z123" s="76"/>
    </x:row>
    <x:row r="124" ht="15" hidden="0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6"/>
      <x:c r="P124" s="76"/>
      <x:c r="Q124" s="76"/>
      <x:c r="R124" s="76"/>
      <x:c r="S124" s="76"/>
      <x:c r="T124" s="76"/>
      <x:c r="U124" s="76"/>
      <x:c r="V124" s="76"/>
      <x:c r="W124" s="76"/>
      <x:c r="X124" s="76"/>
      <x:c r="Y124" s="76"/>
      <x:c r="Z124" s="76"/>
    </x:row>
    <x:row r="125" ht="15" hidden="0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6"/>
      <x:c r="P125" s="76"/>
      <x:c r="Q125" s="76"/>
      <x:c r="R125" s="76"/>
      <x:c r="S125" s="76"/>
      <x:c r="T125" s="76"/>
      <x:c r="U125" s="76"/>
      <x:c r="V125" s="76"/>
      <x:c r="W125" s="76"/>
      <x:c r="X125" s="76"/>
      <x:c r="Y125" s="76"/>
      <x:c r="Z125" s="76"/>
    </x:row>
    <x:row r="126" ht="15" hidden="0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6"/>
      <x:c r="P126" s="76"/>
      <x:c r="Q126" s="76"/>
      <x:c r="R126" s="76"/>
      <x:c r="S126" s="76"/>
      <x:c r="T126" s="76"/>
      <x:c r="U126" s="76"/>
      <x:c r="V126" s="76"/>
      <x:c r="W126" s="76"/>
      <x:c r="X126" s="76"/>
      <x:c r="Y126" s="76"/>
      <x:c r="Z126" s="76"/>
    </x:row>
    <x:row r="127" ht="15" hidden="0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6"/>
      <x:c r="P127" s="76"/>
      <x:c r="Q127" s="76"/>
      <x:c r="R127" s="76"/>
      <x:c r="S127" s="76"/>
      <x:c r="T127" s="76"/>
      <x:c r="U127" s="76"/>
      <x:c r="V127" s="76"/>
      <x:c r="W127" s="76"/>
      <x:c r="X127" s="76"/>
      <x:c r="Y127" s="76"/>
      <x:c r="Z127" s="76"/>
    </x:row>
    <x:row r="128" ht="15" hidden="0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6"/>
      <x:c r="P128" s="76"/>
      <x:c r="Q128" s="76"/>
      <x:c r="R128" s="76"/>
      <x:c r="S128" s="76"/>
      <x:c r="T128" s="76"/>
      <x:c r="U128" s="76"/>
      <x:c r="V128" s="76"/>
      <x:c r="W128" s="76"/>
      <x:c r="X128" s="76"/>
      <x:c r="Y128" s="76"/>
      <x:c r="Z128" s="76"/>
    </x:row>
    <x:row r="129" ht="15" hidden="0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6"/>
      <x:c r="P129" s="76"/>
      <x:c r="Q129" s="76"/>
      <x:c r="R129" s="76"/>
      <x:c r="S129" s="76"/>
      <x:c r="T129" s="76"/>
      <x:c r="U129" s="76"/>
      <x:c r="V129" s="76"/>
      <x:c r="W129" s="76"/>
      <x:c r="X129" s="76"/>
      <x:c r="Y129" s="76"/>
      <x:c r="Z129" s="76"/>
    </x:row>
    <x:row r="130" ht="15" hidden="0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6"/>
      <x:c r="P130" s="76"/>
      <x:c r="Q130" s="76"/>
      <x:c r="R130" s="76"/>
      <x:c r="S130" s="76"/>
      <x:c r="T130" s="76"/>
      <x:c r="U130" s="76"/>
      <x:c r="V130" s="76"/>
      <x:c r="W130" s="76"/>
      <x:c r="X130" s="76"/>
      <x:c r="Y130" s="76"/>
      <x:c r="Z130" s="76"/>
    </x:row>
    <x:row r="131" ht="15" hidden="0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6"/>
      <x:c r="P131" s="76"/>
      <x:c r="Q131" s="76"/>
      <x:c r="R131" s="76"/>
      <x:c r="S131" s="76"/>
      <x:c r="T131" s="76"/>
      <x:c r="U131" s="76"/>
      <x:c r="V131" s="76"/>
      <x:c r="W131" s="76"/>
      <x:c r="X131" s="76"/>
      <x:c r="Y131" s="76"/>
      <x:c r="Z131" s="76"/>
    </x:row>
    <x:row r="132" ht="15" hidden="0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6"/>
      <x:c r="P132" s="76"/>
      <x:c r="Q132" s="76"/>
      <x:c r="R132" s="76"/>
      <x:c r="S132" s="76"/>
      <x:c r="T132" s="76"/>
      <x:c r="U132" s="76"/>
      <x:c r="V132" s="76"/>
      <x:c r="W132" s="76"/>
      <x:c r="X132" s="76"/>
      <x:c r="Y132" s="76"/>
      <x:c r="Z132" s="76"/>
    </x:row>
    <x:row r="133" ht="15" hidden="0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6"/>
      <x:c r="P133" s="76"/>
      <x:c r="Q133" s="76"/>
      <x:c r="R133" s="76"/>
      <x:c r="S133" s="76"/>
      <x:c r="T133" s="76"/>
      <x:c r="U133" s="76"/>
      <x:c r="V133" s="76"/>
      <x:c r="W133" s="76"/>
      <x:c r="X133" s="76"/>
      <x:c r="Y133" s="76"/>
      <x:c r="Z133" s="76"/>
    </x:row>
    <x:row r="134" ht="15" hidden="0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6"/>
      <x:c r="P134" s="76"/>
      <x:c r="Q134" s="76"/>
      <x:c r="R134" s="76"/>
      <x:c r="S134" s="76"/>
      <x:c r="T134" s="76"/>
      <x:c r="U134" s="76"/>
      <x:c r="V134" s="76"/>
      <x:c r="W134" s="76"/>
      <x:c r="X134" s="76"/>
      <x:c r="Y134" s="76"/>
      <x:c r="Z134" s="76"/>
    </x:row>
    <x:row r="135" ht="15" hidden="0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6"/>
      <x:c r="P135" s="76"/>
      <x:c r="Q135" s="76"/>
      <x:c r="R135" s="76"/>
      <x:c r="S135" s="76"/>
      <x:c r="T135" s="76"/>
      <x:c r="U135" s="76"/>
      <x:c r="V135" s="76"/>
      <x:c r="W135" s="76"/>
      <x:c r="X135" s="76"/>
      <x:c r="Y135" s="76"/>
      <x:c r="Z135" s="76"/>
    </x:row>
    <x:row r="136" ht="15" hidden="0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6"/>
      <x:c r="P136" s="76"/>
      <x:c r="Q136" s="76"/>
      <x:c r="R136" s="76"/>
      <x:c r="S136" s="76"/>
      <x:c r="T136" s="76"/>
      <x:c r="U136" s="76"/>
      <x:c r="V136" s="76"/>
      <x:c r="W136" s="76"/>
      <x:c r="X136" s="76"/>
      <x:c r="Y136" s="76"/>
      <x:c r="Z136" s="76"/>
    </x:row>
    <x:row r="137" ht="15" hidden="0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6"/>
      <x:c r="P137" s="76"/>
      <x:c r="Q137" s="76"/>
      <x:c r="R137" s="76"/>
      <x:c r="S137" s="76"/>
      <x:c r="T137" s="76"/>
      <x:c r="U137" s="76"/>
      <x:c r="V137" s="76"/>
      <x:c r="W137" s="76"/>
      <x:c r="X137" s="76"/>
      <x:c r="Y137" s="76"/>
      <x:c r="Z137" s="76"/>
    </x:row>
    <x:row r="138" ht="15" hidden="0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6"/>
      <x:c r="P138" s="76"/>
      <x:c r="Q138" s="76"/>
      <x:c r="R138" s="76"/>
      <x:c r="S138" s="76"/>
      <x:c r="T138" s="76"/>
      <x:c r="U138" s="76"/>
      <x:c r="V138" s="76"/>
      <x:c r="W138" s="76"/>
      <x:c r="X138" s="76"/>
      <x:c r="Y138" s="76"/>
      <x:c r="Z138" s="76"/>
    </x:row>
    <x:row r="139" ht="15" hidden="0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6"/>
      <x:c r="P139" s="76"/>
      <x:c r="Q139" s="76"/>
      <x:c r="R139" s="76"/>
      <x:c r="S139" s="76"/>
      <x:c r="T139" s="76"/>
      <x:c r="U139" s="76"/>
      <x:c r="V139" s="76"/>
      <x:c r="W139" s="76"/>
      <x:c r="X139" s="76"/>
      <x:c r="Y139" s="76"/>
      <x:c r="Z139" s="76"/>
    </x:row>
    <x:row r="140" ht="15" hidden="0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6"/>
      <x:c r="P140" s="76"/>
      <x:c r="Q140" s="76"/>
      <x:c r="R140" s="76"/>
      <x:c r="S140" s="76"/>
      <x:c r="T140" s="76"/>
      <x:c r="U140" s="76"/>
      <x:c r="V140" s="76"/>
      <x:c r="W140" s="76"/>
      <x:c r="X140" s="76"/>
      <x:c r="Y140" s="76"/>
      <x:c r="Z140" s="76"/>
    </x:row>
    <x:row r="141" ht="15" hidden="0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6"/>
      <x:c r="P141" s="76"/>
      <x:c r="Q141" s="76"/>
      <x:c r="R141" s="76"/>
      <x:c r="S141" s="76"/>
      <x:c r="T141" s="76"/>
      <x:c r="U141" s="76"/>
      <x:c r="V141" s="76"/>
      <x:c r="W141" s="76"/>
      <x:c r="X141" s="76"/>
      <x:c r="Y141" s="76"/>
      <x:c r="Z141" s="76"/>
    </x:row>
    <x:row r="142" ht="15" hidden="0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6"/>
      <x:c r="P142" s="76"/>
      <x:c r="Q142" s="76"/>
      <x:c r="R142" s="76"/>
      <x:c r="S142" s="76"/>
      <x:c r="T142" s="76"/>
      <x:c r="U142" s="76"/>
      <x:c r="V142" s="76"/>
      <x:c r="W142" s="76"/>
      <x:c r="X142" s="76"/>
      <x:c r="Y142" s="76"/>
      <x:c r="Z142" s="76"/>
    </x:row>
    <x:row r="143" ht="15" hidden="0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6"/>
      <x:c r="P143" s="76"/>
      <x:c r="Q143" s="76"/>
      <x:c r="R143" s="76"/>
      <x:c r="S143" s="76"/>
      <x:c r="T143" s="76"/>
      <x:c r="U143" s="76"/>
      <x:c r="V143" s="76"/>
      <x:c r="W143" s="76"/>
      <x:c r="X143" s="76"/>
      <x:c r="Y143" s="76"/>
      <x:c r="Z143" s="76"/>
    </x:row>
    <x:row r="144" ht="15" hidden="0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6"/>
      <x:c r="P144" s="76"/>
      <x:c r="Q144" s="76"/>
      <x:c r="R144" s="76"/>
      <x:c r="S144" s="76"/>
      <x:c r="T144" s="76"/>
      <x:c r="U144" s="76"/>
      <x:c r="V144" s="76"/>
      <x:c r="W144" s="76"/>
      <x:c r="X144" s="76"/>
      <x:c r="Y144" s="76"/>
      <x:c r="Z144" s="76"/>
    </x:row>
    <x:row r="145" ht="15" hidden="0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6"/>
      <x:c r="P145" s="76"/>
      <x:c r="Q145" s="76"/>
      <x:c r="R145" s="76"/>
      <x:c r="S145" s="76"/>
      <x:c r="T145" s="76"/>
      <x:c r="U145" s="76"/>
      <x:c r="V145" s="76"/>
      <x:c r="W145" s="76"/>
      <x:c r="X145" s="76"/>
      <x:c r="Y145" s="76"/>
      <x:c r="Z145" s="76"/>
    </x:row>
    <x:row r="146" ht="15" hidden="0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6"/>
      <x:c r="P146" s="76"/>
      <x:c r="Q146" s="76"/>
      <x:c r="R146" s="76"/>
      <x:c r="S146" s="76"/>
      <x:c r="T146" s="76"/>
      <x:c r="U146" s="76"/>
      <x:c r="V146" s="76"/>
      <x:c r="W146" s="76"/>
      <x:c r="X146" s="76"/>
      <x:c r="Y146" s="76"/>
      <x:c r="Z146" s="76"/>
    </x:row>
    <x:row r="147" ht="15" hidden="0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6"/>
      <x:c r="X147" s="76"/>
      <x:c r="Y147" s="76"/>
      <x:c r="Z147" s="76"/>
    </x:row>
    <x:row r="148" ht="15" hidden="0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6"/>
      <x:c r="P148" s="76"/>
      <x:c r="Q148" s="76"/>
      <x:c r="R148" s="76"/>
      <x:c r="S148" s="76"/>
      <x:c r="T148" s="76"/>
      <x:c r="U148" s="76"/>
      <x:c r="V148" s="76"/>
      <x:c r="W148" s="76"/>
      <x:c r="X148" s="76"/>
      <x:c r="Y148" s="76"/>
      <x:c r="Z148" s="76"/>
    </x:row>
    <x:row r="149" ht="15" hidden="0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6"/>
      <x:c r="P149" s="76"/>
      <x:c r="Q149" s="76"/>
      <x:c r="R149" s="76"/>
      <x:c r="S149" s="76"/>
      <x:c r="T149" s="76"/>
      <x:c r="U149" s="76"/>
      <x:c r="V149" s="76"/>
      <x:c r="W149" s="76"/>
      <x:c r="X149" s="76"/>
      <x:c r="Y149" s="76"/>
      <x:c r="Z149" s="76"/>
    </x:row>
    <x:row r="150" ht="15" hidden="0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6"/>
      <x:c r="P150" s="76"/>
      <x:c r="Q150" s="76"/>
      <x:c r="R150" s="76"/>
      <x:c r="S150" s="76"/>
      <x:c r="T150" s="76"/>
      <x:c r="U150" s="76"/>
      <x:c r="V150" s="76"/>
      <x:c r="W150" s="76"/>
      <x:c r="X150" s="76"/>
      <x:c r="Y150" s="76"/>
      <x:c r="Z150" s="76"/>
    </x:row>
    <x:row r="151" ht="15" hidden="0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6"/>
      <x:c r="P151" s="76"/>
      <x:c r="Q151" s="76"/>
      <x:c r="R151" s="76"/>
      <x:c r="S151" s="76"/>
      <x:c r="T151" s="76"/>
      <x:c r="U151" s="76"/>
      <x:c r="V151" s="76"/>
      <x:c r="W151" s="76"/>
      <x:c r="X151" s="76"/>
      <x:c r="Y151" s="76"/>
      <x:c r="Z151" s="76"/>
    </x:row>
    <x:row r="152" ht="15" hidden="0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6"/>
      <x:c r="P152" s="76"/>
      <x:c r="Q152" s="76"/>
      <x:c r="R152" s="76"/>
      <x:c r="S152" s="76"/>
      <x:c r="T152" s="76"/>
      <x:c r="U152" s="76"/>
      <x:c r="V152" s="76"/>
      <x:c r="W152" s="76"/>
      <x:c r="X152" s="76"/>
      <x:c r="Y152" s="76"/>
      <x:c r="Z152" s="76"/>
    </x:row>
    <x:row r="153" ht="15" hidden="0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6"/>
      <x:c r="P153" s="76"/>
      <x:c r="Q153" s="76"/>
      <x:c r="R153" s="76"/>
      <x:c r="S153" s="76"/>
      <x:c r="T153" s="76"/>
      <x:c r="U153" s="76"/>
      <x:c r="V153" s="76"/>
      <x:c r="W153" s="76"/>
      <x:c r="X153" s="76"/>
      <x:c r="Y153" s="76"/>
      <x:c r="Z153" s="76"/>
    </x:row>
    <x:row r="154" ht="15" hidden="0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6"/>
      <x:c r="P154" s="76"/>
      <x:c r="Q154" s="76"/>
      <x:c r="R154" s="76"/>
      <x:c r="S154" s="76"/>
      <x:c r="T154" s="76"/>
      <x:c r="U154" s="76"/>
      <x:c r="V154" s="76"/>
      <x:c r="W154" s="76"/>
      <x:c r="X154" s="76"/>
      <x:c r="Y154" s="76"/>
      <x:c r="Z154" s="76"/>
    </x:row>
    <x:row r="155" ht="15" hidden="0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6"/>
      <x:c r="P155" s="76"/>
      <x:c r="Q155" s="76"/>
      <x:c r="R155" s="76"/>
      <x:c r="S155" s="76"/>
      <x:c r="T155" s="76"/>
      <x:c r="U155" s="76"/>
      <x:c r="V155" s="76"/>
      <x:c r="W155" s="76"/>
      <x:c r="X155" s="76"/>
      <x:c r="Y155" s="76"/>
      <x:c r="Z155" s="76"/>
    </x:row>
    <x:row r="156" ht="15" hidden="0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6"/>
      <x:c r="P156" s="76"/>
      <x:c r="Q156" s="76"/>
      <x:c r="R156" s="76"/>
      <x:c r="S156" s="76"/>
      <x:c r="T156" s="76"/>
      <x:c r="U156" s="76"/>
      <x:c r="V156" s="76"/>
      <x:c r="W156" s="76"/>
      <x:c r="X156" s="76"/>
      <x:c r="Y156" s="76"/>
      <x:c r="Z156" s="76"/>
    </x:row>
    <x:row r="157" ht="15" hidden="0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6"/>
      <x:c r="P157" s="76"/>
      <x:c r="Q157" s="76"/>
      <x:c r="R157" s="76"/>
      <x:c r="S157" s="76"/>
      <x:c r="T157" s="76"/>
      <x:c r="U157" s="76"/>
      <x:c r="V157" s="76"/>
      <x:c r="W157" s="76"/>
      <x:c r="X157" s="76"/>
      <x:c r="Y157" s="76"/>
      <x:c r="Z157" s="76"/>
    </x:row>
    <x:row r="158" ht="15" hidden="0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6"/>
      <x:c r="P158" s="76"/>
      <x:c r="Q158" s="76"/>
      <x:c r="R158" s="76"/>
      <x:c r="S158" s="76"/>
      <x:c r="T158" s="76"/>
      <x:c r="U158" s="76"/>
      <x:c r="V158" s="76"/>
      <x:c r="W158" s="76"/>
      <x:c r="X158" s="76"/>
      <x:c r="Y158" s="76"/>
      <x:c r="Z158" s="76"/>
    </x:row>
    <x:row r="159" ht="15" hidden="0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6"/>
      <x:c r="P159" s="76"/>
      <x:c r="Q159" s="76"/>
      <x:c r="R159" s="76"/>
      <x:c r="S159" s="76"/>
      <x:c r="T159" s="76"/>
      <x:c r="U159" s="76"/>
      <x:c r="V159" s="76"/>
      <x:c r="W159" s="76"/>
      <x:c r="X159" s="76"/>
      <x:c r="Y159" s="76"/>
      <x:c r="Z159" s="76"/>
    </x:row>
    <x:row r="160" ht="15" hidden="0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6"/>
      <x:c r="P160" s="76"/>
      <x:c r="Q160" s="76"/>
      <x:c r="R160" s="76"/>
      <x:c r="S160" s="76"/>
      <x:c r="T160" s="76"/>
      <x:c r="U160" s="76"/>
      <x:c r="V160" s="76"/>
      <x:c r="W160" s="76"/>
      <x:c r="X160" s="76"/>
      <x:c r="Y160" s="76"/>
      <x:c r="Z160" s="76"/>
    </x:row>
    <x:row r="161" ht="15" hidden="0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6"/>
      <x:c r="P161" s="76"/>
      <x:c r="Q161" s="76"/>
      <x:c r="R161" s="76"/>
      <x:c r="S161" s="76"/>
      <x:c r="T161" s="76"/>
      <x:c r="U161" s="76"/>
      <x:c r="V161" s="76"/>
      <x:c r="W161" s="76"/>
      <x:c r="X161" s="76"/>
      <x:c r="Y161" s="76"/>
      <x:c r="Z161" s="76"/>
    </x:row>
    <x:row r="162" ht="15" hidden="0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6"/>
      <x:c r="P162" s="76"/>
      <x:c r="Q162" s="76"/>
      <x:c r="R162" s="76"/>
      <x:c r="S162" s="76"/>
      <x:c r="T162" s="76"/>
      <x:c r="U162" s="76"/>
      <x:c r="V162" s="76"/>
      <x:c r="W162" s="76"/>
      <x:c r="X162" s="76"/>
      <x:c r="Y162" s="76"/>
      <x:c r="Z162" s="76"/>
    </x:row>
    <x:row r="163" ht="15" hidden="0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6"/>
      <x:c r="P163" s="76"/>
      <x:c r="Q163" s="76"/>
      <x:c r="R163" s="76"/>
      <x:c r="S163" s="76"/>
      <x:c r="T163" s="76"/>
      <x:c r="U163" s="76"/>
      <x:c r="V163" s="76"/>
      <x:c r="W163" s="76"/>
      <x:c r="X163" s="76"/>
      <x:c r="Y163" s="76"/>
      <x:c r="Z163" s="76"/>
    </x:row>
    <x:row r="164" ht="15" hidden="0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6"/>
      <x:c r="P164" s="76"/>
      <x:c r="Q164" s="76"/>
      <x:c r="R164" s="76"/>
      <x:c r="S164" s="76"/>
      <x:c r="T164" s="76"/>
      <x:c r="U164" s="76"/>
      <x:c r="V164" s="76"/>
      <x:c r="W164" s="76"/>
      <x:c r="X164" s="76"/>
      <x:c r="Y164" s="76"/>
      <x:c r="Z164" s="76"/>
    </x:row>
    <x:row r="165" ht="15" hidden="0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6"/>
      <x:c r="P165" s="76"/>
      <x:c r="Q165" s="76"/>
      <x:c r="R165" s="76"/>
      <x:c r="S165" s="76"/>
      <x:c r="T165" s="76"/>
      <x:c r="U165" s="76"/>
      <x:c r="V165" s="76"/>
      <x:c r="W165" s="76"/>
      <x:c r="X165" s="76"/>
      <x:c r="Y165" s="76"/>
      <x:c r="Z165" s="76"/>
    </x:row>
    <x:row r="166" ht="15" hidden="0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6"/>
      <x:c r="P166" s="76"/>
      <x:c r="Q166" s="76"/>
      <x:c r="R166" s="76"/>
      <x:c r="S166" s="76"/>
      <x:c r="T166" s="76"/>
      <x:c r="U166" s="76"/>
      <x:c r="V166" s="76"/>
      <x:c r="W166" s="76"/>
      <x:c r="X166" s="76"/>
      <x:c r="Y166" s="76"/>
      <x:c r="Z166" s="76"/>
    </x:row>
    <x:row r="167" ht="15" hidden="0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6"/>
      <x:c r="P167" s="76"/>
      <x:c r="Q167" s="76"/>
      <x:c r="R167" s="76"/>
      <x:c r="S167" s="76"/>
      <x:c r="T167" s="76"/>
      <x:c r="U167" s="76"/>
      <x:c r="V167" s="76"/>
      <x:c r="W167" s="76"/>
      <x:c r="X167" s="76"/>
      <x:c r="Y167" s="76"/>
      <x:c r="Z167" s="76"/>
    </x:row>
    <x:row r="168" ht="15" hidden="0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6"/>
      <x:c r="P168" s="76"/>
      <x:c r="Q168" s="76"/>
      <x:c r="R168" s="76"/>
      <x:c r="S168" s="76"/>
      <x:c r="T168" s="76"/>
      <x:c r="U168" s="76"/>
      <x:c r="V168" s="76"/>
      <x:c r="W168" s="76"/>
      <x:c r="X168" s="76"/>
      <x:c r="Y168" s="76"/>
      <x:c r="Z168" s="76"/>
    </x:row>
    <x:row r="169" ht="15" hidden="0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6"/>
      <x:c r="P169" s="76"/>
      <x:c r="Q169" s="76"/>
      <x:c r="R169" s="76"/>
      <x:c r="S169" s="76"/>
      <x:c r="T169" s="76"/>
      <x:c r="U169" s="76"/>
      <x:c r="V169" s="76"/>
      <x:c r="W169" s="76"/>
      <x:c r="X169" s="76"/>
      <x:c r="Y169" s="76"/>
      <x:c r="Z169" s="76"/>
    </x:row>
    <x:row r="170" ht="15" hidden="0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6"/>
      <x:c r="P170" s="76"/>
      <x:c r="Q170" s="76"/>
      <x:c r="R170" s="76"/>
      <x:c r="S170" s="76"/>
      <x:c r="T170" s="76"/>
      <x:c r="U170" s="76"/>
      <x:c r="V170" s="76"/>
      <x:c r="W170" s="76"/>
      <x:c r="X170" s="76"/>
      <x:c r="Y170" s="76"/>
      <x:c r="Z170" s="76"/>
    </x:row>
    <x:row r="171" ht="15" hidden="0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6"/>
      <x:c r="P171" s="76"/>
      <x:c r="Q171" s="76"/>
      <x:c r="R171" s="76"/>
      <x:c r="S171" s="76"/>
      <x:c r="T171" s="76"/>
      <x:c r="U171" s="76"/>
      <x:c r="V171" s="76"/>
      <x:c r="W171" s="76"/>
      <x:c r="X171" s="76"/>
      <x:c r="Y171" s="76"/>
      <x:c r="Z171" s="76"/>
    </x:row>
    <x:row r="172" ht="15" hidden="0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76"/>
      <x:c r="Y172" s="76"/>
      <x:c r="Z172" s="76"/>
    </x:row>
    <x:row r="173" ht="15" hidden="0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6"/>
      <x:c r="P173" s="76"/>
      <x:c r="Q173" s="76"/>
      <x:c r="R173" s="76"/>
      <x:c r="S173" s="76"/>
      <x:c r="T173" s="76"/>
      <x:c r="U173" s="76"/>
      <x:c r="V173" s="76"/>
      <x:c r="W173" s="76"/>
      <x:c r="X173" s="76"/>
      <x:c r="Y173" s="76"/>
      <x:c r="Z173" s="76"/>
    </x:row>
    <x:row r="174" ht="15" hidden="0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76"/>
      <x:c r="Y174" s="76"/>
      <x:c r="Z174" s="76"/>
    </x:row>
    <x:row r="175" ht="15" hidden="0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6"/>
      <x:c r="P175" s="76"/>
      <x:c r="Q175" s="76"/>
      <x:c r="R175" s="76"/>
      <x:c r="S175" s="76"/>
      <x:c r="T175" s="76"/>
      <x:c r="U175" s="76"/>
      <x:c r="V175" s="76"/>
      <x:c r="W175" s="76"/>
      <x:c r="X175" s="76"/>
      <x:c r="Y175" s="76"/>
      <x:c r="Z175" s="76"/>
    </x:row>
    <x:row r="176" ht="15" hidden="0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76"/>
      <x:c r="Y176" s="76"/>
      <x:c r="Z176" s="76"/>
    </x:row>
    <x:row r="177" ht="15" hidden="0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6"/>
      <x:c r="P177" s="76"/>
      <x:c r="Q177" s="76"/>
      <x:c r="R177" s="76"/>
      <x:c r="S177" s="76"/>
      <x:c r="T177" s="76"/>
      <x:c r="U177" s="76"/>
      <x:c r="V177" s="76"/>
      <x:c r="W177" s="76"/>
      <x:c r="X177" s="76"/>
      <x:c r="Y177" s="76"/>
      <x:c r="Z177" s="76"/>
    </x:row>
    <x:row r="178" ht="15" hidden="0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76"/>
      <x:c r="Y178" s="76"/>
      <x:c r="Z178" s="76"/>
    </x:row>
    <x:row r="179" ht="15" hidden="0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6"/>
      <x:c r="P179" s="76"/>
      <x:c r="Q179" s="76"/>
      <x:c r="R179" s="76"/>
      <x:c r="S179" s="76"/>
      <x:c r="T179" s="76"/>
      <x:c r="U179" s="76"/>
      <x:c r="V179" s="76"/>
      <x:c r="W179" s="76"/>
      <x:c r="X179" s="76"/>
      <x:c r="Y179" s="76"/>
      <x:c r="Z179" s="76"/>
    </x:row>
    <x:row r="180" ht="15" hidden="0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76"/>
      <x:c r="Y180" s="76"/>
      <x:c r="Z180" s="76"/>
    </x:row>
    <x:row r="181" ht="15" hidden="0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6"/>
      <x:c r="P181" s="76"/>
      <x:c r="Q181" s="76"/>
      <x:c r="R181" s="76"/>
      <x:c r="S181" s="76"/>
      <x:c r="T181" s="76"/>
      <x:c r="U181" s="76"/>
      <x:c r="V181" s="76"/>
      <x:c r="W181" s="76"/>
      <x:c r="X181" s="76"/>
      <x:c r="Y181" s="76"/>
      <x:c r="Z181" s="76"/>
    </x:row>
    <x:row r="182" ht="15" hidden="0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76"/>
      <x:c r="Y182" s="76"/>
      <x:c r="Z182" s="76"/>
    </x:row>
    <x:row r="183" ht="15" hidden="0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6"/>
      <x:c r="P183" s="76"/>
      <x:c r="Q183" s="76"/>
      <x:c r="R183" s="76"/>
      <x:c r="S183" s="76"/>
      <x:c r="T183" s="76"/>
      <x:c r="U183" s="76"/>
      <x:c r="V183" s="76"/>
      <x:c r="W183" s="76"/>
      <x:c r="X183" s="76"/>
      <x:c r="Y183" s="76"/>
      <x:c r="Z183" s="76"/>
    </x:row>
    <x:row r="184" ht="15" hidden="0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76"/>
      <x:c r="Y184" s="76"/>
      <x:c r="Z184" s="76"/>
    </x:row>
    <x:row r="185" ht="15" hidden="0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6"/>
      <x:c r="P185" s="76"/>
      <x:c r="Q185" s="76"/>
      <x:c r="R185" s="76"/>
      <x:c r="S185" s="76"/>
      <x:c r="T185" s="76"/>
      <x:c r="U185" s="76"/>
      <x:c r="V185" s="76"/>
      <x:c r="W185" s="76"/>
      <x:c r="X185" s="76"/>
      <x:c r="Y185" s="76"/>
      <x:c r="Z185" s="76"/>
    </x:row>
    <x:row r="186" ht="15" hidden="0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76"/>
      <x:c r="Y186" s="76"/>
      <x:c r="Z186" s="76"/>
    </x:row>
    <x:row r="187" ht="15" hidden="0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6"/>
      <x:c r="P187" s="76"/>
      <x:c r="Q187" s="76"/>
      <x:c r="R187" s="76"/>
      <x:c r="S187" s="76"/>
      <x:c r="T187" s="76"/>
      <x:c r="U187" s="76"/>
      <x:c r="V187" s="76"/>
      <x:c r="W187" s="76"/>
      <x:c r="X187" s="76"/>
      <x:c r="Y187" s="76"/>
      <x:c r="Z187" s="76"/>
    </x:row>
    <x:row r="188" ht="15" hidden="0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76"/>
      <x:c r="Y188" s="76"/>
      <x:c r="Z188" s="76"/>
    </x:row>
    <x:row r="189" ht="15" hidden="0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6"/>
      <x:c r="P189" s="76"/>
      <x:c r="Q189" s="76"/>
      <x:c r="R189" s="76"/>
      <x:c r="S189" s="76"/>
      <x:c r="T189" s="76"/>
      <x:c r="U189" s="76"/>
      <x:c r="V189" s="76"/>
      <x:c r="W189" s="76"/>
      <x:c r="X189" s="76"/>
      <x:c r="Y189" s="76"/>
      <x:c r="Z189" s="76"/>
    </x:row>
    <x:row r="190" ht="15" hidden="0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76"/>
      <x:c r="Y190" s="76"/>
      <x:c r="Z190" s="76"/>
    </x:row>
    <x:row r="191" ht="15" hidden="0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6"/>
      <x:c r="P191" s="76"/>
      <x:c r="Q191" s="76"/>
      <x:c r="R191" s="76"/>
      <x:c r="S191" s="76"/>
      <x:c r="T191" s="76"/>
      <x:c r="U191" s="76"/>
      <x:c r="V191" s="76"/>
      <x:c r="W191" s="76"/>
      <x:c r="X191" s="76"/>
      <x:c r="Y191" s="76"/>
      <x:c r="Z191" s="76"/>
    </x:row>
    <x:row r="192" ht="15" hidden="0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76"/>
      <x:c r="Y192" s="76"/>
      <x:c r="Z192" s="76"/>
    </x:row>
    <x:row r="193" ht="15" hidden="0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6"/>
      <x:c r="P193" s="76"/>
      <x:c r="Q193" s="76"/>
      <x:c r="R193" s="76"/>
      <x:c r="S193" s="76"/>
      <x:c r="T193" s="76"/>
      <x:c r="U193" s="76"/>
      <x:c r="V193" s="76"/>
      <x:c r="W193" s="76"/>
      <x:c r="X193" s="76"/>
      <x:c r="Y193" s="76"/>
      <x:c r="Z193" s="76"/>
    </x:row>
    <x:row r="194" ht="15" hidden="0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76"/>
      <x:c r="Y194" s="76"/>
      <x:c r="Z194" s="76"/>
    </x:row>
    <x:row r="195" ht="15" hidden="0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6"/>
      <x:c r="P195" s="76"/>
      <x:c r="Q195" s="76"/>
      <x:c r="R195" s="76"/>
      <x:c r="S195" s="76"/>
      <x:c r="T195" s="76"/>
      <x:c r="U195" s="76"/>
      <x:c r="V195" s="76"/>
      <x:c r="W195" s="76"/>
      <x:c r="X195" s="76"/>
      <x:c r="Y195" s="76"/>
      <x:c r="Z195" s="76"/>
    </x:row>
    <x:row r="196" ht="15" hidden="0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6"/>
      <x:c r="P196" s="76"/>
      <x:c r="Q196" s="76"/>
      <x:c r="R196" s="76"/>
      <x:c r="S196" s="76"/>
      <x:c r="T196" s="76"/>
      <x:c r="U196" s="76"/>
      <x:c r="V196" s="76"/>
      <x:c r="W196" s="76"/>
      <x:c r="X196" s="76"/>
      <x:c r="Y196" s="76"/>
      <x:c r="Z196" s="76"/>
    </x:row>
    <x:row r="197" ht="15" hidden="0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6"/>
      <x:c r="P197" s="76"/>
      <x:c r="Q197" s="76"/>
      <x:c r="R197" s="76"/>
      <x:c r="S197" s="76"/>
      <x:c r="T197" s="76"/>
      <x:c r="U197" s="76"/>
      <x:c r="V197" s="76"/>
      <x:c r="W197" s="76"/>
      <x:c r="X197" s="76"/>
      <x:c r="Y197" s="76"/>
      <x:c r="Z197" s="76"/>
    </x:row>
    <x:row r="198" ht="15" hidden="0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6"/>
      <x:c r="P198" s="76"/>
      <x:c r="Q198" s="76"/>
      <x:c r="R198" s="76"/>
      <x:c r="S198" s="76"/>
      <x:c r="T198" s="76"/>
      <x:c r="U198" s="76"/>
      <x:c r="V198" s="76"/>
      <x:c r="W198" s="76"/>
      <x:c r="X198" s="76"/>
      <x:c r="Y198" s="76"/>
      <x:c r="Z198" s="76"/>
    </x:row>
    <x:row r="199" ht="15" hidden="0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6"/>
      <x:c r="P199" s="76"/>
      <x:c r="Q199" s="76"/>
      <x:c r="R199" s="76"/>
      <x:c r="S199" s="76"/>
      <x:c r="T199" s="76"/>
      <x:c r="U199" s="76"/>
      <x:c r="V199" s="76"/>
      <x:c r="W199" s="76"/>
      <x:c r="X199" s="76"/>
      <x:c r="Y199" s="76"/>
      <x:c r="Z199" s="76"/>
    </x:row>
    <x:row r="200" ht="15" hidden="0" customHeight="1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  <x:c r="W200" s="86"/>
      <x:c r="X200" s="86"/>
      <x:c r="Y200" s="86"/>
      <x:c r="Z200" s="86"/>
    </x:row>
  </x:sheetData>
  <x:mergeCells>
    <x:mergeCell ref="A1:E1"/>
  </x:mergeCells>
  <x:pageMargins left="0.7" right="0.7" top="0.75" bottom="0.75" header="0.3" footer="0.3"/>
</x:worksheet>
</file>